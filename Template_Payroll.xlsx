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03e0e24d88b47de5/Desktop/"/>
    </mc:Choice>
  </mc:AlternateContent>
  <xr:revisionPtr revIDLastSave="1" documentId="8_{DD2D8942-A7D3-4668-B5FA-64F3743CE786}" xr6:coauthVersionLast="36" xr6:coauthVersionMax="36" xr10:uidLastSave="{EA0AA850-2F34-4A87-ACBD-09682CCE4A7F}"/>
  <bookViews>
    <workbookView xWindow="0" yWindow="0" windowWidth="19200" windowHeight="5650" activeTab="2" xr2:uid="{00000000-000D-0000-FFFF-FFFF00000000}"/>
  </bookViews>
  <sheets>
    <sheet name="Exp" sheetId="1" r:id="rId1"/>
    <sheet name="Salary" sheetId="2" r:id="rId2"/>
    <sheet name="Bank Exp Allowance" sheetId="3" r:id="rId3"/>
    <sheet name="Bank Salary" sheetId="4" r:id="rId4"/>
  </sheets>
  <calcPr calcId="191029"/>
  <extLst>
    <ext uri="GoogleSheetsCustomDataVersion2">
      <go:sheetsCustomData xmlns:go="http://customooxmlschemas.google.com/" r:id="rId8" roundtripDataChecksum="lrpZmZEQ3dGktQ5x+WoVy7JxU8stua4BM9fHHT7yrUg="/>
    </ext>
  </extLst>
</workbook>
</file>

<file path=xl/calcChain.xml><?xml version="1.0" encoding="utf-8"?>
<calcChain xmlns="http://schemas.openxmlformats.org/spreadsheetml/2006/main">
  <c r="Q9" i="2" l="1"/>
  <c r="R9" i="2" s="1"/>
  <c r="Q10" i="2"/>
  <c r="R10" i="2"/>
  <c r="Q11" i="2"/>
  <c r="R11" i="2"/>
  <c r="Q12" i="2"/>
  <c r="R12" i="2" s="1"/>
  <c r="Q13" i="2"/>
  <c r="R13" i="2"/>
  <c r="Q14" i="2"/>
  <c r="R14" i="2"/>
  <c r="Q15" i="2"/>
  <c r="R15" i="2" s="1"/>
  <c r="Q16" i="2"/>
  <c r="R16" i="2"/>
  <c r="Q17" i="2"/>
  <c r="R17" i="2"/>
  <c r="Q18" i="2"/>
  <c r="R18" i="2"/>
  <c r="Q19" i="2"/>
  <c r="R19" i="2"/>
  <c r="Q20" i="2"/>
  <c r="R20" i="2"/>
  <c r="Q21" i="2"/>
  <c r="R21" i="2" s="1"/>
  <c r="Q22" i="2"/>
  <c r="R22" i="2" s="1"/>
  <c r="Q23" i="2"/>
  <c r="R23" i="2"/>
  <c r="Q24" i="2"/>
  <c r="R24" i="2"/>
  <c r="Q25" i="2"/>
  <c r="R25" i="2"/>
  <c r="Q26" i="2"/>
  <c r="R26" i="2"/>
  <c r="Q27" i="2"/>
  <c r="R27" i="2" s="1"/>
  <c r="Q28" i="2"/>
  <c r="R28" i="2"/>
  <c r="Q29" i="2"/>
  <c r="R29" i="2"/>
  <c r="Q30" i="2"/>
  <c r="R30" i="2"/>
  <c r="Q31" i="2"/>
  <c r="R31" i="2"/>
  <c r="Q32" i="2"/>
  <c r="R32" i="2"/>
  <c r="Q33" i="2"/>
  <c r="R33" i="2" s="1"/>
  <c r="Q34" i="2"/>
  <c r="R34" i="2"/>
  <c r="Q35" i="2"/>
  <c r="R35" i="2" s="1"/>
  <c r="Q36" i="2"/>
  <c r="R36" i="2"/>
  <c r="Q37" i="2"/>
  <c r="R37" i="2"/>
  <c r="Q38" i="2"/>
  <c r="R38" i="2"/>
  <c r="Q39" i="2"/>
  <c r="R39" i="2" s="1"/>
  <c r="Q40" i="2"/>
  <c r="R40" i="2"/>
  <c r="Q41" i="2"/>
  <c r="R41" i="2"/>
  <c r="Q42" i="2"/>
  <c r="R42" i="2"/>
  <c r="Q43" i="2"/>
  <c r="R43" i="2"/>
  <c r="Q44" i="2"/>
  <c r="R44" i="2"/>
  <c r="Q45" i="2"/>
  <c r="R45" i="2" s="1"/>
  <c r="Q46" i="2"/>
  <c r="R46" i="2"/>
  <c r="Q47" i="2"/>
  <c r="R47" i="2"/>
  <c r="Q48" i="2"/>
  <c r="R48" i="2" s="1"/>
  <c r="Q49" i="2"/>
  <c r="R49" i="2"/>
  <c r="Q50" i="2"/>
  <c r="R50" i="2"/>
  <c r="Q51" i="2"/>
  <c r="R51" i="2" s="1"/>
  <c r="Q52" i="2"/>
  <c r="R52" i="2"/>
  <c r="Q53" i="2"/>
  <c r="R53" i="2"/>
  <c r="Q54" i="2"/>
  <c r="R54" i="2"/>
  <c r="Q55" i="2"/>
  <c r="R55" i="2"/>
  <c r="Q56" i="2"/>
  <c r="R56" i="2"/>
  <c r="Q57" i="2"/>
  <c r="R57" i="2" s="1"/>
  <c r="Q58" i="2"/>
  <c r="R58" i="2"/>
  <c r="Q59" i="2"/>
  <c r="R59" i="2"/>
  <c r="Q60" i="2"/>
  <c r="R60" i="2"/>
  <c r="Q61" i="2"/>
  <c r="R61" i="2" s="1"/>
  <c r="Q62" i="2"/>
  <c r="R62" i="2"/>
  <c r="Q63" i="2"/>
  <c r="R63" i="2" s="1"/>
  <c r="Q64" i="2"/>
  <c r="R64" i="2"/>
  <c r="Q65" i="2"/>
  <c r="R65" i="2"/>
  <c r="Q66" i="2"/>
  <c r="R66" i="2"/>
  <c r="Q67" i="2"/>
  <c r="R67" i="2"/>
  <c r="Q68" i="2"/>
  <c r="R68" i="2"/>
  <c r="Q69" i="2"/>
  <c r="R69" i="2" s="1"/>
  <c r="Q70" i="2"/>
  <c r="R70" i="2"/>
  <c r="Q71" i="2"/>
  <c r="R71" i="2"/>
  <c r="Q72" i="2"/>
  <c r="R72" i="2"/>
  <c r="Q73" i="2"/>
  <c r="R73" i="2"/>
  <c r="Q74" i="2"/>
  <c r="R74" i="2" s="1"/>
  <c r="Q75" i="2"/>
  <c r="R75" i="2" s="1"/>
  <c r="Q76" i="2"/>
  <c r="R76" i="2"/>
  <c r="Q77" i="2"/>
  <c r="R77" i="2"/>
  <c r="Q78" i="2"/>
  <c r="R78" i="2"/>
  <c r="Q79" i="2"/>
  <c r="R79" i="2"/>
  <c r="Q80" i="2"/>
  <c r="R80" i="2"/>
  <c r="Q81" i="2"/>
  <c r="R81" i="2" s="1"/>
  <c r="Q82" i="2"/>
  <c r="R82" i="2"/>
  <c r="Q83" i="2"/>
  <c r="R83" i="2"/>
  <c r="Q84" i="2"/>
  <c r="R84" i="2"/>
  <c r="Q85" i="2"/>
  <c r="R85" i="2"/>
  <c r="Q86" i="2"/>
  <c r="R86" i="2"/>
  <c r="Q87" i="2"/>
  <c r="R87" i="2" s="1"/>
  <c r="Q88" i="2"/>
  <c r="R88" i="2"/>
  <c r="Q89" i="2"/>
  <c r="R89" i="2"/>
  <c r="Q90" i="2"/>
  <c r="R90" i="2"/>
  <c r="Q91" i="2"/>
  <c r="R91" i="2"/>
  <c r="Q92" i="2"/>
  <c r="R92" i="2"/>
  <c r="Q93" i="2"/>
  <c r="R93" i="2" s="1"/>
  <c r="Q94" i="2"/>
  <c r="R94" i="2" s="1"/>
  <c r="Q95" i="2"/>
  <c r="R95" i="2"/>
  <c r="Q96" i="2"/>
  <c r="R96" i="2"/>
  <c r="Q97" i="2"/>
  <c r="R97" i="2"/>
  <c r="Q98" i="2"/>
  <c r="R98" i="2"/>
  <c r="Q99" i="2"/>
  <c r="R99" i="2" s="1"/>
  <c r="Q100" i="2"/>
  <c r="R100" i="2"/>
  <c r="Q101" i="2"/>
  <c r="R101" i="2"/>
  <c r="Q102" i="2"/>
  <c r="R102" i="2"/>
  <c r="Q103" i="2"/>
  <c r="R103" i="2"/>
  <c r="Q104" i="2"/>
  <c r="R104" i="2"/>
  <c r="Q105" i="2"/>
  <c r="R105" i="2" s="1"/>
  <c r="Q106" i="2"/>
  <c r="R106" i="2"/>
  <c r="Q107" i="2"/>
  <c r="R107" i="2" s="1"/>
  <c r="Q108" i="2"/>
  <c r="R108" i="2"/>
  <c r="Q109" i="2"/>
  <c r="R109" i="2"/>
  <c r="Q110" i="2"/>
  <c r="R110" i="2"/>
  <c r="Q111" i="2"/>
  <c r="R111" i="2" s="1"/>
  <c r="Q112" i="2"/>
  <c r="R112" i="2"/>
  <c r="Q113" i="2"/>
  <c r="R113" i="2"/>
  <c r="Q114" i="2"/>
  <c r="R114" i="2"/>
  <c r="Q115" i="2"/>
  <c r="R115" i="2"/>
  <c r="Q116" i="2"/>
  <c r="R116" i="2"/>
  <c r="Q117" i="2"/>
  <c r="R117" i="2" s="1"/>
  <c r="Q118" i="2"/>
  <c r="R118" i="2"/>
  <c r="Q119" i="2"/>
  <c r="R119" i="2"/>
  <c r="Q120" i="2"/>
  <c r="R120" i="2" s="1"/>
  <c r="Q121" i="2"/>
  <c r="R121" i="2"/>
  <c r="Q122" i="2"/>
  <c r="R122" i="2"/>
  <c r="Q123" i="2"/>
  <c r="R123" i="2" s="1"/>
  <c r="Q124" i="2"/>
  <c r="R124" i="2"/>
  <c r="Q125" i="2"/>
  <c r="R125" i="2"/>
  <c r="Q126" i="2"/>
  <c r="R126" i="2"/>
  <c r="Q127" i="2"/>
  <c r="R127" i="2"/>
  <c r="Q128" i="2"/>
  <c r="R128" i="2"/>
  <c r="Q129" i="2"/>
  <c r="R129" i="2" s="1"/>
  <c r="Q130" i="2"/>
  <c r="R130" i="2"/>
  <c r="Q131" i="2"/>
  <c r="R131" i="2"/>
  <c r="Q132" i="2"/>
  <c r="R132" i="2"/>
  <c r="Q133" i="2"/>
  <c r="R133" i="2" s="1"/>
  <c r="Q134" i="2"/>
  <c r="R134" i="2"/>
  <c r="Q135" i="2"/>
  <c r="R135" i="2" s="1"/>
  <c r="Q136" i="2"/>
  <c r="R136" i="2"/>
  <c r="Q137" i="2"/>
  <c r="R137" i="2"/>
  <c r="Q138" i="2"/>
  <c r="R138" i="2"/>
  <c r="Q139" i="2"/>
  <c r="R139" i="2"/>
  <c r="Q140" i="2"/>
  <c r="R140" i="2"/>
  <c r="Q141" i="2"/>
  <c r="R141" i="2" s="1"/>
  <c r="Q142" i="2"/>
  <c r="R142" i="2"/>
  <c r="Q143" i="2"/>
  <c r="R143" i="2"/>
  <c r="Q144" i="2"/>
  <c r="R144" i="2"/>
  <c r="Q145" i="2"/>
  <c r="R145" i="2"/>
  <c r="Q146" i="2"/>
  <c r="R146" i="2" s="1"/>
  <c r="Q147" i="2"/>
  <c r="R147" i="2" s="1"/>
  <c r="Q148" i="2"/>
  <c r="R148" i="2"/>
  <c r="Q149" i="2"/>
  <c r="R149" i="2"/>
  <c r="Q150" i="2"/>
  <c r="R150" i="2"/>
  <c r="Q151" i="2"/>
  <c r="R151" i="2"/>
  <c r="Q152" i="2"/>
  <c r="R152" i="2"/>
  <c r="Q153" i="2"/>
  <c r="R153" i="2" s="1"/>
  <c r="Q154" i="2"/>
  <c r="R154" i="2"/>
  <c r="Q155" i="2"/>
  <c r="R155" i="2"/>
  <c r="Q156" i="2"/>
  <c r="R156" i="2"/>
  <c r="Q157" i="2"/>
  <c r="R157" i="2"/>
  <c r="Q158" i="2"/>
  <c r="R158" i="2"/>
  <c r="Q159" i="2"/>
  <c r="R159" i="2" s="1"/>
  <c r="Q160" i="2"/>
  <c r="R160" i="2"/>
  <c r="Q161" i="2"/>
  <c r="R161" i="2"/>
  <c r="Q162" i="2"/>
  <c r="R162" i="2"/>
  <c r="Q163" i="2"/>
  <c r="R163" i="2"/>
  <c r="Q164" i="2"/>
  <c r="R164" i="2"/>
  <c r="Q165" i="2"/>
  <c r="R165" i="2" s="1"/>
  <c r="Q166" i="2"/>
  <c r="R166" i="2" s="1"/>
  <c r="Q167" i="2"/>
  <c r="R167" i="2"/>
  <c r="Q168" i="2"/>
  <c r="R168" i="2"/>
  <c r="Q169" i="2"/>
  <c r="R169" i="2"/>
  <c r="Q170" i="2"/>
  <c r="R170" i="2"/>
  <c r="Q171" i="2"/>
  <c r="R171" i="2" s="1"/>
  <c r="Q172" i="2"/>
  <c r="R172" i="2"/>
  <c r="Q173" i="2"/>
  <c r="R173" i="2"/>
  <c r="Q174" i="2"/>
  <c r="R174" i="2"/>
  <c r="Q175" i="2"/>
  <c r="R175" i="2"/>
  <c r="Q176" i="2"/>
  <c r="R176" i="2"/>
  <c r="Q177" i="2"/>
  <c r="R177" i="2" s="1"/>
  <c r="Q178" i="2"/>
  <c r="R178" i="2"/>
  <c r="Q179" i="2"/>
  <c r="R179" i="2" s="1"/>
  <c r="Q180" i="2"/>
  <c r="R180" i="2"/>
  <c r="Q181" i="2"/>
  <c r="R181" i="2"/>
  <c r="Q182" i="2"/>
  <c r="R182" i="2"/>
  <c r="Q183" i="2"/>
  <c r="R183" i="2" s="1"/>
  <c r="Q184" i="2"/>
  <c r="R184" i="2"/>
  <c r="Q185" i="2"/>
  <c r="R185" i="2"/>
  <c r="Q186" i="2"/>
  <c r="R186" i="2"/>
  <c r="Q187" i="2"/>
  <c r="R187" i="2"/>
  <c r="Q188" i="2"/>
  <c r="R188" i="2"/>
  <c r="Q189" i="2"/>
  <c r="R189" i="2" s="1"/>
  <c r="Q190" i="2"/>
  <c r="R190" i="2"/>
  <c r="Q191" i="2"/>
  <c r="R191" i="2"/>
  <c r="Q192" i="2"/>
  <c r="R192" i="2" s="1"/>
  <c r="Q193" i="2"/>
  <c r="R193" i="2"/>
  <c r="Q194" i="2"/>
  <c r="R194" i="2"/>
  <c r="Q195" i="2"/>
  <c r="R195" i="2" s="1"/>
  <c r="Q196" i="2"/>
  <c r="R196" i="2"/>
  <c r="Q197" i="2"/>
  <c r="R197" i="2"/>
  <c r="Q198" i="2"/>
  <c r="R198" i="2"/>
  <c r="Q199" i="2"/>
  <c r="R199" i="2"/>
  <c r="Q200" i="2"/>
  <c r="R200" i="2"/>
  <c r="Q201" i="2"/>
  <c r="R201" i="2" s="1"/>
  <c r="Q202" i="2"/>
  <c r="R202" i="2"/>
  <c r="Q203" i="2"/>
  <c r="R203" i="2"/>
  <c r="Q204" i="2"/>
  <c r="R204" i="2"/>
  <c r="Q205" i="2"/>
  <c r="R205" i="2" s="1"/>
  <c r="Q206" i="2"/>
  <c r="R206" i="2"/>
  <c r="Q207" i="2"/>
  <c r="R207" i="2" s="1"/>
  <c r="Q208" i="2"/>
  <c r="R208" i="2"/>
  <c r="Q209" i="2"/>
  <c r="R209" i="2"/>
  <c r="Q210" i="2"/>
  <c r="R210" i="2"/>
  <c r="Q211" i="2"/>
  <c r="R211" i="2"/>
  <c r="Q212" i="2"/>
  <c r="R212" i="2"/>
  <c r="Q213" i="2"/>
  <c r="R213" i="2" s="1"/>
  <c r="Q214" i="2"/>
  <c r="R214" i="2"/>
  <c r="Q215" i="2"/>
  <c r="R215" i="2"/>
  <c r="Q216" i="2"/>
  <c r="R216" i="2"/>
  <c r="Q217" i="2"/>
  <c r="R217" i="2"/>
  <c r="Q218" i="2"/>
  <c r="R218" i="2" s="1"/>
  <c r="Q220" i="2"/>
  <c r="R220" i="2"/>
  <c r="Q221" i="2"/>
  <c r="R221" i="2"/>
  <c r="Q222" i="2"/>
  <c r="R222" i="2" s="1"/>
  <c r="Q223" i="2"/>
  <c r="R223" i="2"/>
  <c r="Q224" i="2"/>
  <c r="R224" i="2"/>
  <c r="Q225" i="2"/>
  <c r="R225" i="2"/>
  <c r="Q226" i="2"/>
  <c r="R226" i="2"/>
  <c r="Q227" i="2"/>
  <c r="R227" i="2"/>
  <c r="Q228" i="2"/>
  <c r="R228" i="2" s="1"/>
  <c r="Q229" i="2"/>
  <c r="R229" i="2"/>
  <c r="Q230" i="2"/>
  <c r="R230" i="2" s="1"/>
  <c r="Q231" i="2"/>
  <c r="R231" i="2" s="1"/>
  <c r="Q232" i="2"/>
  <c r="R232" i="2" s="1"/>
  <c r="Q233" i="2"/>
  <c r="R233" i="2" s="1"/>
  <c r="Q234" i="2"/>
  <c r="R234" i="2" s="1"/>
  <c r="Q235" i="2"/>
  <c r="R235" i="2"/>
  <c r="Q236" i="2"/>
  <c r="R236" i="2"/>
  <c r="Q237" i="2"/>
  <c r="R237" i="2"/>
  <c r="Q238" i="2"/>
  <c r="R238" i="2"/>
  <c r="Q239" i="2"/>
  <c r="R239" i="2"/>
  <c r="Q240" i="2"/>
  <c r="R240" i="2" s="1"/>
  <c r="Q241" i="2"/>
  <c r="R241" i="2" s="1"/>
  <c r="Q242" i="2"/>
  <c r="R242" i="2"/>
  <c r="Q243" i="2"/>
  <c r="R243" i="2"/>
  <c r="Q244" i="2"/>
  <c r="R244" i="2" s="1"/>
  <c r="Q248" i="2"/>
  <c r="R248" i="2" s="1"/>
  <c r="Q249" i="2"/>
  <c r="R249" i="2" s="1"/>
  <c r="Q250" i="2"/>
  <c r="R250" i="2"/>
  <c r="Q251" i="2"/>
  <c r="R251" i="2"/>
  <c r="Q252" i="2"/>
  <c r="R252" i="2"/>
  <c r="Q253" i="2"/>
  <c r="R253" i="2" s="1"/>
  <c r="Q254" i="2"/>
  <c r="R254" i="2" s="1"/>
  <c r="Q255" i="2"/>
  <c r="R255" i="2" s="1"/>
  <c r="Q256" i="2"/>
  <c r="R256" i="2"/>
  <c r="Q257" i="2"/>
  <c r="R257" i="2"/>
  <c r="Q258" i="2"/>
  <c r="R258" i="2"/>
  <c r="Q259" i="2"/>
  <c r="R259" i="2" s="1"/>
  <c r="Q260" i="2"/>
  <c r="R260" i="2" s="1"/>
  <c r="Q261" i="2"/>
  <c r="R261" i="2" s="1"/>
  <c r="Q262" i="2"/>
  <c r="R262" i="2"/>
  <c r="Q265" i="2"/>
  <c r="R265" i="2"/>
  <c r="Q266" i="2"/>
  <c r="R266" i="2"/>
  <c r="Q267" i="2"/>
  <c r="Q275" i="2" s="1"/>
  <c r="Q268" i="2"/>
  <c r="R268" i="2" s="1"/>
  <c r="Q269" i="2"/>
  <c r="R269" i="2" s="1"/>
  <c r="Q270" i="2"/>
  <c r="R270" i="2"/>
  <c r="Q271" i="2"/>
  <c r="R271" i="2"/>
  <c r="Q272" i="2"/>
  <c r="R272" i="2"/>
  <c r="Q273" i="2"/>
  <c r="R273" i="2" s="1"/>
  <c r="Q274" i="2"/>
  <c r="R274" i="2" s="1"/>
  <c r="Q279" i="2"/>
  <c r="R279" i="2" s="1"/>
  <c r="Q280" i="2"/>
  <c r="R280" i="2"/>
  <c r="Q281" i="2"/>
  <c r="R281" i="2"/>
  <c r="Q282" i="2"/>
  <c r="R282" i="2" s="1"/>
  <c r="Q283" i="2"/>
  <c r="R283" i="2"/>
  <c r="Q284" i="2"/>
  <c r="R284" i="2"/>
  <c r="Q285" i="2"/>
  <c r="R285" i="2"/>
  <c r="Q286" i="2"/>
  <c r="R286" i="2"/>
  <c r="Q287" i="2"/>
  <c r="R287" i="2"/>
  <c r="Q288" i="2"/>
  <c r="R288" i="2" s="1"/>
  <c r="Q289" i="2"/>
  <c r="R289" i="2"/>
  <c r="Q290" i="2"/>
  <c r="R290" i="2" s="1"/>
  <c r="Q291" i="2"/>
  <c r="R291" i="2" s="1"/>
  <c r="Q292" i="2"/>
  <c r="R292" i="2" s="1"/>
  <c r="Q293" i="2"/>
  <c r="R293" i="2"/>
  <c r="Q294" i="2"/>
  <c r="R294" i="2" s="1"/>
  <c r="Q295" i="2"/>
  <c r="R295" i="2"/>
  <c r="Q296" i="2"/>
  <c r="R296" i="2"/>
  <c r="Q297" i="2"/>
  <c r="R297" i="2"/>
  <c r="Q298" i="2"/>
  <c r="R298" i="2"/>
  <c r="Q299" i="2"/>
  <c r="R299" i="2"/>
  <c r="Q300" i="2"/>
  <c r="R300" i="2" s="1"/>
  <c r="Q301" i="2"/>
  <c r="R301" i="2"/>
  <c r="Q302" i="2"/>
  <c r="R302" i="2"/>
  <c r="Q303" i="2"/>
  <c r="R303" i="2" s="1"/>
  <c r="Q304" i="2"/>
  <c r="R304" i="2" s="1"/>
  <c r="Q305" i="2"/>
  <c r="R305" i="2" s="1"/>
  <c r="Q306" i="2"/>
  <c r="R306" i="2" s="1"/>
  <c r="Q307" i="2"/>
  <c r="R307" i="2"/>
  <c r="Q308" i="2"/>
  <c r="R308" i="2"/>
  <c r="Q309" i="2"/>
  <c r="R309" i="2"/>
  <c r="Q310" i="2"/>
  <c r="R310" i="2"/>
  <c r="Q311" i="2"/>
  <c r="R311" i="2"/>
  <c r="Q312" i="2"/>
  <c r="R312" i="2" s="1"/>
  <c r="Q316" i="2"/>
  <c r="R316" i="2"/>
  <c r="Q317" i="2"/>
  <c r="R317" i="2" s="1"/>
  <c r="Q318" i="2"/>
  <c r="R318" i="2"/>
  <c r="Q319" i="2"/>
  <c r="R319" i="2"/>
  <c r="R322" i="2"/>
  <c r="Q323" i="2"/>
  <c r="R323" i="2" s="1"/>
  <c r="Q324" i="2"/>
  <c r="Q263" i="2" l="1"/>
  <c r="R263" i="2" s="1"/>
  <c r="Q313" i="2"/>
  <c r="R267" i="2"/>
  <c r="R313" i="2"/>
  <c r="Q320" i="2"/>
  <c r="R320" i="2" s="1"/>
  <c r="R325" i="2" s="1"/>
  <c r="Q245" i="2"/>
  <c r="Q219" i="2"/>
  <c r="R219" i="2" s="1"/>
  <c r="L8" i="1"/>
  <c r="M8" i="1" s="1"/>
  <c r="N8" i="1" s="1"/>
  <c r="Q276" i="2" l="1"/>
  <c r="Q325" i="2"/>
  <c r="R276" i="2"/>
  <c r="F507" i="4"/>
  <c r="F491" i="4"/>
  <c r="F479" i="4"/>
  <c r="F470" i="4"/>
  <c r="F468" i="4"/>
  <c r="F458" i="4"/>
  <c r="F449" i="4"/>
  <c r="F437" i="4"/>
  <c r="F436" i="4"/>
  <c r="F412" i="4"/>
  <c r="F407" i="4"/>
  <c r="F402" i="4"/>
  <c r="F359" i="4"/>
  <c r="F356" i="4"/>
  <c r="F354" i="4"/>
  <c r="F316" i="4"/>
  <c r="F306" i="4"/>
  <c r="F299" i="4"/>
  <c r="F293" i="4"/>
  <c r="F292" i="4"/>
  <c r="F273" i="4"/>
  <c r="F274" i="4" s="1"/>
  <c r="F196" i="4"/>
  <c r="F191" i="4"/>
  <c r="F168" i="4"/>
  <c r="F150" i="4"/>
  <c r="F124" i="4"/>
  <c r="F66" i="4"/>
  <c r="F61" i="4"/>
  <c r="F37" i="4"/>
  <c r="F22" i="4"/>
  <c r="F18" i="4"/>
  <c r="F12" i="4"/>
  <c r="F323" i="3"/>
  <c r="F114" i="3"/>
  <c r="F17" i="3"/>
  <c r="F3" i="3"/>
  <c r="R504" i="2"/>
  <c r="S504" i="2" s="1"/>
  <c r="F511" i="4"/>
  <c r="S503" i="2"/>
  <c r="R503" i="2"/>
  <c r="F510" i="4"/>
  <c r="R500" i="2"/>
  <c r="S500" i="2" s="1"/>
  <c r="S497" i="2"/>
  <c r="S496" i="2"/>
  <c r="S495" i="2"/>
  <c r="S489" i="2"/>
  <c r="S488" i="2"/>
  <c r="R485" i="2"/>
  <c r="S485" i="2" s="1"/>
  <c r="R484" i="2"/>
  <c r="S484" i="2" s="1"/>
  <c r="R480" i="2"/>
  <c r="S480" i="2" s="1"/>
  <c r="R479" i="2"/>
  <c r="S479" i="2" s="1"/>
  <c r="F488" i="4"/>
  <c r="R478" i="2"/>
  <c r="S478" i="2" s="1"/>
  <c r="S476" i="2"/>
  <c r="S475" i="2"/>
  <c r="R472" i="2"/>
  <c r="S472" i="2" s="1"/>
  <c r="R471" i="2"/>
  <c r="S471" i="2" s="1"/>
  <c r="R470" i="2"/>
  <c r="S470" i="2" s="1"/>
  <c r="R467" i="2"/>
  <c r="S467" i="2" s="1"/>
  <c r="R466" i="2"/>
  <c r="S466" i="2" s="1"/>
  <c r="R465" i="2"/>
  <c r="S465" i="2" s="1"/>
  <c r="F471" i="4"/>
  <c r="F478" i="4"/>
  <c r="R460" i="2"/>
  <c r="S460" i="2" s="1"/>
  <c r="F473" i="4"/>
  <c r="S457" i="2"/>
  <c r="S455" i="2"/>
  <c r="R452" i="2"/>
  <c r="S452" i="2" s="1"/>
  <c r="R451" i="2"/>
  <c r="S451" i="2" s="1"/>
  <c r="R448" i="2"/>
  <c r="S448" i="2" s="1"/>
  <c r="R447" i="2"/>
  <c r="S446" i="2"/>
  <c r="S445" i="2"/>
  <c r="R442" i="2"/>
  <c r="S442" i="2" s="1"/>
  <c r="R441" i="2"/>
  <c r="S441" i="2" s="1"/>
  <c r="F450" i="4"/>
  <c r="F447" i="4"/>
  <c r="S438" i="2"/>
  <c r="S437" i="2"/>
  <c r="R431" i="2"/>
  <c r="S431" i="2" s="1"/>
  <c r="R426" i="2"/>
  <c r="S426" i="2" s="1"/>
  <c r="R423" i="2"/>
  <c r="S423" i="2" s="1"/>
  <c r="R418" i="2"/>
  <c r="S418" i="2" s="1"/>
  <c r="R417" i="2"/>
  <c r="S417" i="2" s="1"/>
  <c r="F421" i="4"/>
  <c r="F425" i="4"/>
  <c r="S413" i="2"/>
  <c r="S412" i="2"/>
  <c r="R407" i="2"/>
  <c r="S407" i="2" s="1"/>
  <c r="F406" i="4"/>
  <c r="R406" i="2"/>
  <c r="S406" i="2" s="1"/>
  <c r="R404" i="2"/>
  <c r="F397" i="4"/>
  <c r="R402" i="2"/>
  <c r="S402" i="2" s="1"/>
  <c r="R397" i="2"/>
  <c r="S397" i="2" s="1"/>
  <c r="R395" i="2"/>
  <c r="S395" i="2" s="1"/>
  <c r="R394" i="2"/>
  <c r="S394" i="2" s="1"/>
  <c r="F390" i="4"/>
  <c r="R386" i="2"/>
  <c r="S386" i="2" s="1"/>
  <c r="F392" i="4"/>
  <c r="R379" i="2"/>
  <c r="S379" i="2" s="1"/>
  <c r="F398" i="4"/>
  <c r="S376" i="2"/>
  <c r="S375" i="2"/>
  <c r="F355" i="4"/>
  <c r="S369" i="2"/>
  <c r="R369" i="2"/>
  <c r="F374" i="4"/>
  <c r="R366" i="2"/>
  <c r="S366" i="2" s="1"/>
  <c r="F365" i="4"/>
  <c r="F328" i="4"/>
  <c r="F336" i="4"/>
  <c r="R363" i="2"/>
  <c r="S363" i="2" s="1"/>
  <c r="R362" i="2"/>
  <c r="S362" i="2" s="1"/>
  <c r="F340" i="4"/>
  <c r="R359" i="2"/>
  <c r="F370" i="4"/>
  <c r="R358" i="2"/>
  <c r="S358" i="2" s="1"/>
  <c r="R357" i="2"/>
  <c r="S357" i="2" s="1"/>
  <c r="F363" i="4"/>
  <c r="R354" i="2"/>
  <c r="S354" i="2" s="1"/>
  <c r="F360" i="4"/>
  <c r="F331" i="4"/>
  <c r="R351" i="2"/>
  <c r="S351" i="2" s="1"/>
  <c r="F358" i="4"/>
  <c r="R350" i="2"/>
  <c r="S350" i="2" s="1"/>
  <c r="F332" i="4"/>
  <c r="R349" i="2"/>
  <c r="S349" i="2" s="1"/>
  <c r="F337" i="4"/>
  <c r="R344" i="2"/>
  <c r="S344" i="2" s="1"/>
  <c r="F350" i="4"/>
  <c r="F373" i="4"/>
  <c r="F357" i="4"/>
  <c r="R336" i="2"/>
  <c r="S336" i="2" s="1"/>
  <c r="R335" i="2"/>
  <c r="S335" i="2" s="1"/>
  <c r="F333" i="4"/>
  <c r="F327" i="4"/>
  <c r="F330" i="4" s="1"/>
  <c r="S327" i="2"/>
  <c r="R326" i="2"/>
  <c r="S326" i="2" s="1"/>
  <c r="S322" i="2"/>
  <c r="F296" i="4"/>
  <c r="S315" i="2"/>
  <c r="S308" i="2"/>
  <c r="F294" i="4"/>
  <c r="S307" i="2"/>
  <c r="F278" i="4"/>
  <c r="F285" i="4"/>
  <c r="F288" i="4"/>
  <c r="S302" i="2"/>
  <c r="S301" i="2"/>
  <c r="F303" i="4"/>
  <c r="S299" i="2"/>
  <c r="F295" i="4"/>
  <c r="S297" i="2"/>
  <c r="F300" i="4"/>
  <c r="F308" i="4"/>
  <c r="F281" i="4"/>
  <c r="S290" i="2"/>
  <c r="S288" i="2"/>
  <c r="F312" i="4"/>
  <c r="S287" i="2"/>
  <c r="F310" i="4"/>
  <c r="F287" i="4"/>
  <c r="S283" i="2"/>
  <c r="F289" i="4"/>
  <c r="S282" i="2"/>
  <c r="F309" i="4"/>
  <c r="S280" i="2"/>
  <c r="F302" i="4"/>
  <c r="S278" i="2"/>
  <c r="S277" i="2"/>
  <c r="S268" i="2"/>
  <c r="F117" i="4"/>
  <c r="S265" i="2"/>
  <c r="S261" i="2"/>
  <c r="S260" i="2"/>
  <c r="S253" i="2"/>
  <c r="F208" i="4"/>
  <c r="F190" i="4"/>
  <c r="S248" i="2"/>
  <c r="S238" i="2"/>
  <c r="S237" i="2"/>
  <c r="F158" i="4"/>
  <c r="F55" i="4"/>
  <c r="F95" i="4"/>
  <c r="F154" i="4"/>
  <c r="S232" i="2"/>
  <c r="F81" i="4"/>
  <c r="S230" i="2"/>
  <c r="S229" i="2"/>
  <c r="F74" i="4"/>
  <c r="S227" i="2"/>
  <c r="F141" i="4"/>
  <c r="S221" i="2"/>
  <c r="S220" i="2"/>
  <c r="S217" i="2"/>
  <c r="F153" i="4"/>
  <c r="S213" i="2"/>
  <c r="F125" i="4"/>
  <c r="S210" i="2"/>
  <c r="F165" i="4"/>
  <c r="S209" i="2"/>
  <c r="F261" i="4"/>
  <c r="F68" i="4"/>
  <c r="S197" i="2"/>
  <c r="F69" i="4"/>
  <c r="S190" i="2"/>
  <c r="F4" i="4"/>
  <c r="F16" i="4"/>
  <c r="F260" i="4"/>
  <c r="S187" i="2"/>
  <c r="S185" i="2"/>
  <c r="F91" i="4"/>
  <c r="F116" i="4"/>
  <c r="F58" i="4"/>
  <c r="S179" i="2"/>
  <c r="F84" i="4"/>
  <c r="F217" i="4"/>
  <c r="F240" i="4"/>
  <c r="F113" i="4"/>
  <c r="S170" i="2"/>
  <c r="F212" i="4"/>
  <c r="S168" i="2"/>
  <c r="F264" i="4"/>
  <c r="S167" i="2"/>
  <c r="F21" i="4"/>
  <c r="F161" i="4"/>
  <c r="F108" i="4"/>
  <c r="S161" i="2"/>
  <c r="F3" i="4"/>
  <c r="F188" i="4"/>
  <c r="F226" i="4"/>
  <c r="S156" i="2"/>
  <c r="S155" i="2"/>
  <c r="F144" i="4"/>
  <c r="S152" i="2"/>
  <c r="F92" i="4"/>
  <c r="S151" i="2"/>
  <c r="F241" i="4"/>
  <c r="S150" i="2"/>
  <c r="F44" i="4"/>
  <c r="S148" i="2"/>
  <c r="F101" i="4"/>
  <c r="F129" i="4"/>
  <c r="S144" i="2"/>
  <c r="F38" i="4"/>
  <c r="S143" i="2"/>
  <c r="F225" i="4"/>
  <c r="S142" i="2"/>
  <c r="F243" i="4"/>
  <c r="S139" i="2"/>
  <c r="F72" i="4"/>
  <c r="F221" i="4"/>
  <c r="S135" i="2"/>
  <c r="F252" i="4"/>
  <c r="F24" i="4"/>
  <c r="F123" i="4"/>
  <c r="S120" i="2"/>
  <c r="F262" i="4"/>
  <c r="S118" i="2"/>
  <c r="F27" i="4"/>
  <c r="F9" i="4"/>
  <c r="S115" i="2"/>
  <c r="F25" i="4"/>
  <c r="F136" i="4"/>
  <c r="S112" i="2"/>
  <c r="S109" i="2"/>
  <c r="F249" i="4"/>
  <c r="S108" i="2"/>
  <c r="F90" i="4"/>
  <c r="S105" i="2"/>
  <c r="F236" i="4"/>
  <c r="S103" i="2"/>
  <c r="F11" i="4"/>
  <c r="F228" i="4"/>
  <c r="F14" i="4"/>
  <c r="S99" i="2"/>
  <c r="F8" i="4"/>
  <c r="S96" i="2"/>
  <c r="F189" i="4"/>
  <c r="F164" i="4"/>
  <c r="F10" i="4"/>
  <c r="F151" i="4"/>
  <c r="S91" i="2"/>
  <c r="F20" i="4"/>
  <c r="F17" i="4"/>
  <c r="F227" i="4"/>
  <c r="F80" i="4"/>
  <c r="F155" i="4"/>
  <c r="F131" i="4"/>
  <c r="F177" i="4"/>
  <c r="F135" i="4"/>
  <c r="F23" i="4"/>
  <c r="F166" i="4"/>
  <c r="F34" i="4"/>
  <c r="S58" i="2"/>
  <c r="F140" i="4"/>
  <c r="F126" i="4"/>
  <c r="S55" i="2"/>
  <c r="F45" i="4"/>
  <c r="F149" i="4"/>
  <c r="F229" i="4"/>
  <c r="F5" i="4"/>
  <c r="F115" i="4"/>
  <c r="F30" i="4"/>
  <c r="F152" i="4"/>
  <c r="F218" i="4"/>
  <c r="S39" i="2"/>
  <c r="F216" i="4"/>
  <c r="F112" i="4"/>
  <c r="F49" i="4"/>
  <c r="F145" i="4"/>
  <c r="F233" i="4"/>
  <c r="F263" i="4"/>
  <c r="F234" i="4"/>
  <c r="F59" i="4"/>
  <c r="F42" i="4"/>
  <c r="F13" i="4"/>
  <c r="F132" i="4"/>
  <c r="F41" i="4"/>
  <c r="F134" i="4"/>
  <c r="F257" i="4"/>
  <c r="S10" i="2"/>
  <c r="F111" i="4"/>
  <c r="S9" i="2"/>
  <c r="L348" i="1"/>
  <c r="F394" i="3" s="1"/>
  <c r="L347" i="1"/>
  <c r="F395" i="3" s="1"/>
  <c r="N346" i="1"/>
  <c r="L343" i="1"/>
  <c r="F385" i="3" s="1"/>
  <c r="L342" i="1"/>
  <c r="L341" i="1"/>
  <c r="F387" i="3" s="1"/>
  <c r="M340" i="1"/>
  <c r="N340" i="1" s="1"/>
  <c r="L340" i="1"/>
  <c r="F383" i="3" s="1"/>
  <c r="L337" i="1"/>
  <c r="F389" i="3" s="1"/>
  <c r="N336" i="1"/>
  <c r="N335" i="1"/>
  <c r="L332" i="1"/>
  <c r="F373" i="3" s="1"/>
  <c r="L331" i="1"/>
  <c r="F370" i="3" s="1"/>
  <c r="L330" i="1"/>
  <c r="L329" i="1"/>
  <c r="L328" i="1"/>
  <c r="F371" i="3" s="1"/>
  <c r="L327" i="1"/>
  <c r="F369" i="3" s="1"/>
  <c r="L326" i="1"/>
  <c r="N325" i="1"/>
  <c r="N324" i="1"/>
  <c r="L322" i="1"/>
  <c r="F361" i="3" s="1"/>
  <c r="M321" i="1"/>
  <c r="N321" i="1" s="1"/>
  <c r="L321" i="1"/>
  <c r="F360" i="3" s="1"/>
  <c r="L320" i="1"/>
  <c r="N319" i="1"/>
  <c r="N318" i="1"/>
  <c r="L316" i="1"/>
  <c r="M316" i="1" s="1"/>
  <c r="N316" i="1" s="1"/>
  <c r="L315" i="1"/>
  <c r="F353" i="3" s="1"/>
  <c r="L314" i="1"/>
  <c r="L313" i="1"/>
  <c r="L312" i="1"/>
  <c r="N311" i="1"/>
  <c r="N310" i="1"/>
  <c r="L308" i="1"/>
  <c r="F336" i="3" s="1"/>
  <c r="L306" i="1"/>
  <c r="F341" i="3" s="1"/>
  <c r="L305" i="1"/>
  <c r="L304" i="1"/>
  <c r="F343" i="3" s="1"/>
  <c r="L303" i="1"/>
  <c r="F335" i="3" s="1"/>
  <c r="L302" i="1"/>
  <c r="L301" i="1"/>
  <c r="L300" i="1"/>
  <c r="M300" i="1" s="1"/>
  <c r="N299" i="1"/>
  <c r="L296" i="1"/>
  <c r="F311" i="3" s="1"/>
  <c r="F312" i="3" s="1"/>
  <c r="L295" i="1"/>
  <c r="L294" i="1"/>
  <c r="L293" i="1"/>
  <c r="F321" i="3" s="1"/>
  <c r="L292" i="1"/>
  <c r="F318" i="3" s="1"/>
  <c r="L291" i="1"/>
  <c r="L289" i="1"/>
  <c r="F322" i="3" s="1"/>
  <c r="L288" i="1"/>
  <c r="L287" i="1"/>
  <c r="F315" i="3" s="1"/>
  <c r="L286" i="1"/>
  <c r="M286" i="1" s="1"/>
  <c r="N286" i="1" s="1"/>
  <c r="L285" i="1"/>
  <c r="K351" i="1"/>
  <c r="L281" i="1"/>
  <c r="L280" i="1"/>
  <c r="L279" i="1"/>
  <c r="L278" i="1"/>
  <c r="L277" i="1"/>
  <c r="F283" i="3" s="1"/>
  <c r="L276" i="1"/>
  <c r="L275" i="1"/>
  <c r="F294" i="3" s="1"/>
  <c r="L274" i="1"/>
  <c r="F303" i="3" s="1"/>
  <c r="L273" i="1"/>
  <c r="F253" i="3" s="1"/>
  <c r="L272" i="1"/>
  <c r="L271" i="1"/>
  <c r="F279" i="3" s="1"/>
  <c r="L270" i="1"/>
  <c r="F287" i="3" s="1"/>
  <c r="L269" i="1"/>
  <c r="M269" i="1" s="1"/>
  <c r="N269" i="1" s="1"/>
  <c r="L268" i="1"/>
  <c r="L267" i="1"/>
  <c r="L266" i="1"/>
  <c r="F272" i="3" s="1"/>
  <c r="L265" i="1"/>
  <c r="F292" i="3" s="1"/>
  <c r="L264" i="1"/>
  <c r="L263" i="1"/>
  <c r="F293" i="3" s="1"/>
  <c r="L262" i="1"/>
  <c r="F289" i="3" s="1"/>
  <c r="L261" i="1"/>
  <c r="F254" i="3" s="1"/>
  <c r="L260" i="1"/>
  <c r="L259" i="1"/>
  <c r="F264" i="3" s="1"/>
  <c r="L258" i="1"/>
  <c r="F246" i="3" s="1"/>
  <c r="F247" i="3" s="1"/>
  <c r="L257" i="1"/>
  <c r="F286" i="3" s="1"/>
  <c r="L256" i="1"/>
  <c r="L255" i="1"/>
  <c r="F278" i="3" s="1"/>
  <c r="L254" i="1"/>
  <c r="F301" i="3" s="1"/>
  <c r="L252" i="1"/>
  <c r="F270" i="3" s="1"/>
  <c r="L251" i="1"/>
  <c r="F296" i="3" s="1"/>
  <c r="L250" i="1"/>
  <c r="F275" i="3" s="1"/>
  <c r="L249" i="1"/>
  <c r="L247" i="1"/>
  <c r="L246" i="1"/>
  <c r="F298" i="3" s="1"/>
  <c r="L245" i="1"/>
  <c r="F252" i="3" s="1"/>
  <c r="L244" i="1"/>
  <c r="L243" i="1"/>
  <c r="F263" i="3" s="1"/>
  <c r="L241" i="1"/>
  <c r="L240" i="1"/>
  <c r="F288" i="3" s="1"/>
  <c r="L239" i="1"/>
  <c r="F282" i="3" s="1"/>
  <c r="L238" i="1"/>
  <c r="L237" i="1"/>
  <c r="L236" i="1"/>
  <c r="F291" i="3" s="1"/>
  <c r="L235" i="1"/>
  <c r="F261" i="3" s="1"/>
  <c r="L234" i="1"/>
  <c r="F271" i="3" s="1"/>
  <c r="L233" i="1"/>
  <c r="L232" i="1"/>
  <c r="L231" i="1"/>
  <c r="M231" i="1" s="1"/>
  <c r="N231" i="1" s="1"/>
  <c r="L230" i="1"/>
  <c r="J351" i="1"/>
  <c r="H351" i="1"/>
  <c r="L226" i="1"/>
  <c r="F211" i="3" s="1"/>
  <c r="L225" i="1"/>
  <c r="L224" i="1"/>
  <c r="F224" i="3" s="1"/>
  <c r="L223" i="1"/>
  <c r="F220" i="3" s="1"/>
  <c r="L222" i="1"/>
  <c r="F232" i="3" s="1"/>
  <c r="L221" i="1"/>
  <c r="L220" i="1"/>
  <c r="L219" i="1"/>
  <c r="F226" i="3" s="1"/>
  <c r="L218" i="1"/>
  <c r="F230" i="3" s="1"/>
  <c r="L217" i="1"/>
  <c r="L216" i="1"/>
  <c r="F231" i="3" s="1"/>
  <c r="L215" i="1"/>
  <c r="F233" i="3" s="1"/>
  <c r="L214" i="1"/>
  <c r="F237" i="3" s="1"/>
  <c r="L213" i="1"/>
  <c r="L212" i="1"/>
  <c r="F234" i="3" s="1"/>
  <c r="L211" i="1"/>
  <c r="F228" i="3" s="1"/>
  <c r="L210" i="1"/>
  <c r="F219" i="3" s="1"/>
  <c r="L209" i="1"/>
  <c r="L208" i="1"/>
  <c r="F214" i="3" s="1"/>
  <c r="L207" i="1"/>
  <c r="F208" i="3" s="1"/>
  <c r="F209" i="3" s="1"/>
  <c r="L206" i="1"/>
  <c r="F225" i="3" s="1"/>
  <c r="L205" i="1"/>
  <c r="L204" i="1"/>
  <c r="L203" i="1"/>
  <c r="F229" i="3" s="1"/>
  <c r="L202" i="1"/>
  <c r="F222" i="3" s="1"/>
  <c r="N200" i="1"/>
  <c r="L198" i="1"/>
  <c r="F93" i="3" s="1"/>
  <c r="L197" i="1"/>
  <c r="L196" i="1"/>
  <c r="F74" i="3" s="1"/>
  <c r="L195" i="1"/>
  <c r="F94" i="3" s="1"/>
  <c r="L194" i="1"/>
  <c r="L193" i="1"/>
  <c r="L192" i="1"/>
  <c r="F49" i="3" s="1"/>
  <c r="L191" i="1"/>
  <c r="F81" i="3" s="1"/>
  <c r="L189" i="1"/>
  <c r="F88" i="3" s="1"/>
  <c r="L188" i="1"/>
  <c r="F69" i="3" s="1"/>
  <c r="L187" i="1"/>
  <c r="F59" i="3" s="1"/>
  <c r="L186" i="1"/>
  <c r="L185" i="1"/>
  <c r="F65" i="3" s="1"/>
  <c r="L184" i="1"/>
  <c r="F50" i="3" s="1"/>
  <c r="L183" i="1"/>
  <c r="F121" i="3" s="1"/>
  <c r="L182" i="1"/>
  <c r="L181" i="1"/>
  <c r="F91" i="3" s="1"/>
  <c r="L180" i="1"/>
  <c r="F103" i="3" s="1"/>
  <c r="L179" i="1"/>
  <c r="F36" i="3" s="1"/>
  <c r="L178" i="1"/>
  <c r="M178" i="1" s="1"/>
  <c r="N178" i="1" s="1"/>
  <c r="L177" i="1"/>
  <c r="M177" i="1" s="1"/>
  <c r="N177" i="1" s="1"/>
  <c r="L176" i="1"/>
  <c r="M176" i="1" s="1"/>
  <c r="N176" i="1" s="1"/>
  <c r="L175" i="1"/>
  <c r="F200" i="3" s="1"/>
  <c r="L174" i="1"/>
  <c r="M174" i="1" s="1"/>
  <c r="N174" i="1" s="1"/>
  <c r="L173" i="1"/>
  <c r="L172" i="1"/>
  <c r="F169" i="3" s="1"/>
  <c r="L171" i="1"/>
  <c r="L170" i="1"/>
  <c r="L169" i="1"/>
  <c r="F135" i="3" s="1"/>
  <c r="L168" i="1"/>
  <c r="F99" i="3" s="1"/>
  <c r="L167" i="1"/>
  <c r="F138" i="3" s="1"/>
  <c r="L166" i="1"/>
  <c r="L165" i="1"/>
  <c r="F62" i="3" s="1"/>
  <c r="L164" i="1"/>
  <c r="F192" i="3" s="1"/>
  <c r="L163" i="1"/>
  <c r="F105" i="3" s="1"/>
  <c r="L162" i="1"/>
  <c r="L161" i="1"/>
  <c r="F72" i="3" s="1"/>
  <c r="L160" i="1"/>
  <c r="F175" i="3" s="1"/>
  <c r="L159" i="1"/>
  <c r="L157" i="1"/>
  <c r="F89" i="3" s="1"/>
  <c r="L156" i="1"/>
  <c r="F60" i="3" s="1"/>
  <c r="L155" i="1"/>
  <c r="L154" i="1"/>
  <c r="F183" i="3" s="1"/>
  <c r="L153" i="1"/>
  <c r="F73" i="3" s="1"/>
  <c r="L152" i="1"/>
  <c r="F4" i="3" s="1"/>
  <c r="L151" i="1"/>
  <c r="L150" i="1"/>
  <c r="L149" i="1"/>
  <c r="L148" i="1"/>
  <c r="L147" i="1"/>
  <c r="L146" i="1"/>
  <c r="F52" i="3" s="1"/>
  <c r="L145" i="1"/>
  <c r="F190" i="3" s="1"/>
  <c r="L144" i="1"/>
  <c r="F98" i="3" s="1"/>
  <c r="L143" i="1"/>
  <c r="L142" i="1"/>
  <c r="F29" i="3" s="1"/>
  <c r="L141" i="1"/>
  <c r="F37" i="3" s="1"/>
  <c r="L140" i="1"/>
  <c r="F159" i="3" s="1"/>
  <c r="L139" i="1"/>
  <c r="L138" i="1"/>
  <c r="F181" i="3" s="1"/>
  <c r="L137" i="1"/>
  <c r="F80" i="3" s="1"/>
  <c r="L136" i="1"/>
  <c r="L135" i="1"/>
  <c r="F154" i="3" s="1"/>
  <c r="L134" i="1"/>
  <c r="F195" i="3" s="1"/>
  <c r="L133" i="1"/>
  <c r="L132" i="1"/>
  <c r="L131" i="1"/>
  <c r="F151" i="3" s="1"/>
  <c r="L130" i="1"/>
  <c r="F131" i="3" s="1"/>
  <c r="L129" i="1"/>
  <c r="L128" i="1"/>
  <c r="L126" i="1"/>
  <c r="M126" i="1" s="1"/>
  <c r="N126" i="1" s="1"/>
  <c r="L125" i="1"/>
  <c r="L124" i="1"/>
  <c r="F90" i="3" s="1"/>
  <c r="L123" i="1"/>
  <c r="M123" i="1" s="1"/>
  <c r="N123" i="1" s="1"/>
  <c r="L122" i="1"/>
  <c r="F85" i="3" s="1"/>
  <c r="L121" i="1"/>
  <c r="L120" i="1"/>
  <c r="F164" i="3" s="1"/>
  <c r="L119" i="1"/>
  <c r="L118" i="1"/>
  <c r="F92" i="3" s="1"/>
  <c r="L117" i="1"/>
  <c r="F64" i="3" s="1"/>
  <c r="L116" i="1"/>
  <c r="F111" i="3" s="1"/>
  <c r="L115" i="1"/>
  <c r="F83" i="3" s="1"/>
  <c r="L114" i="1"/>
  <c r="F185" i="3" s="1"/>
  <c r="L113" i="1"/>
  <c r="F66" i="3" s="1"/>
  <c r="L112" i="1"/>
  <c r="F35" i="3" s="1"/>
  <c r="L111" i="1"/>
  <c r="F63" i="3" s="1"/>
  <c r="L110" i="1"/>
  <c r="F20" i="3" s="1"/>
  <c r="L109" i="1"/>
  <c r="F179" i="3" s="1"/>
  <c r="L108" i="1"/>
  <c r="F21" i="3" s="1"/>
  <c r="L107" i="1"/>
  <c r="M107" i="1" s="1"/>
  <c r="N107" i="1" s="1"/>
  <c r="L106" i="1"/>
  <c r="F12" i="3" s="1"/>
  <c r="L105" i="1"/>
  <c r="L104" i="1"/>
  <c r="F61" i="3" s="1"/>
  <c r="L103" i="1"/>
  <c r="F147" i="3" s="1"/>
  <c r="L102" i="1"/>
  <c r="F108" i="3" s="1"/>
  <c r="L101" i="1"/>
  <c r="F119" i="3" s="1"/>
  <c r="L100" i="1"/>
  <c r="L99" i="1"/>
  <c r="F132" i="3" s="1"/>
  <c r="L98" i="1"/>
  <c r="L97" i="1"/>
  <c r="F47" i="3" s="1"/>
  <c r="L96" i="1"/>
  <c r="F24" i="3" s="1"/>
  <c r="L95" i="1"/>
  <c r="F9" i="3" s="1"/>
  <c r="L94" i="1"/>
  <c r="F54" i="3" s="1"/>
  <c r="L93" i="1"/>
  <c r="F22" i="3" s="1"/>
  <c r="L92" i="1"/>
  <c r="F127" i="3" s="1"/>
  <c r="L91" i="1"/>
  <c r="L90" i="1"/>
  <c r="F28" i="3" s="1"/>
  <c r="L89" i="1"/>
  <c r="F156" i="3" s="1"/>
  <c r="L88" i="1"/>
  <c r="F76" i="3" s="1"/>
  <c r="L87" i="1"/>
  <c r="F70" i="3" s="1"/>
  <c r="L86" i="1"/>
  <c r="F184" i="3" s="1"/>
  <c r="L85" i="1"/>
  <c r="F11" i="3" s="1"/>
  <c r="L84" i="1"/>
  <c r="F33" i="3" s="1"/>
  <c r="L83" i="1"/>
  <c r="F167" i="3" s="1"/>
  <c r="L82" i="1"/>
  <c r="F8" i="3" s="1"/>
  <c r="L81" i="1"/>
  <c r="F134" i="3" s="1"/>
  <c r="L80" i="1"/>
  <c r="F157" i="3" s="1"/>
  <c r="L79" i="1"/>
  <c r="F136" i="3" s="1"/>
  <c r="L78" i="1"/>
  <c r="F55" i="3" s="1"/>
  <c r="L77" i="1"/>
  <c r="L76" i="1"/>
  <c r="F19" i="3" s="1"/>
  <c r="L75" i="1"/>
  <c r="F18" i="3" s="1"/>
  <c r="L74" i="1"/>
  <c r="L73" i="1"/>
  <c r="L72" i="1"/>
  <c r="F26" i="3" s="1"/>
  <c r="L71" i="1"/>
  <c r="F112" i="3" s="1"/>
  <c r="L70" i="1"/>
  <c r="F68" i="3" s="1"/>
  <c r="L69" i="1"/>
  <c r="L68" i="1"/>
  <c r="F48" i="3" s="1"/>
  <c r="L67" i="1"/>
  <c r="F82" i="3" s="1"/>
  <c r="L66" i="1"/>
  <c r="F53" i="3" s="1"/>
  <c r="L65" i="1"/>
  <c r="L64" i="1"/>
  <c r="F165" i="3" s="1"/>
  <c r="L63" i="1"/>
  <c r="F113" i="3" s="1"/>
  <c r="L62" i="1"/>
  <c r="F155" i="3" s="1"/>
  <c r="L61" i="1"/>
  <c r="L60" i="1"/>
  <c r="F149" i="3" s="1"/>
  <c r="L59" i="1"/>
  <c r="F145" i="3" s="1"/>
  <c r="L58" i="1"/>
  <c r="F116" i="3" s="1"/>
  <c r="L57" i="1"/>
  <c r="L56" i="1"/>
  <c r="L55" i="1"/>
  <c r="F140" i="3" s="1"/>
  <c r="L54" i="1"/>
  <c r="F139" i="3" s="1"/>
  <c r="L53" i="1"/>
  <c r="L52" i="1"/>
  <c r="F146" i="3" s="1"/>
  <c r="L51" i="1"/>
  <c r="F30" i="3" s="1"/>
  <c r="L50" i="1"/>
  <c r="F120" i="3" s="1"/>
  <c r="L49" i="1"/>
  <c r="L48" i="1"/>
  <c r="F126" i="3" s="1"/>
  <c r="L47" i="1"/>
  <c r="L46" i="1"/>
  <c r="F196" i="3" s="1"/>
  <c r="L45" i="1"/>
  <c r="F6" i="3" s="1"/>
  <c r="L44" i="1"/>
  <c r="L43" i="1"/>
  <c r="F27" i="3" s="1"/>
  <c r="L42" i="1"/>
  <c r="F129" i="3" s="1"/>
  <c r="L41" i="1"/>
  <c r="F67" i="3" s="1"/>
  <c r="L39" i="1"/>
  <c r="L38" i="1"/>
  <c r="F153" i="3" s="1"/>
  <c r="L37" i="1"/>
  <c r="F123" i="3" s="1"/>
  <c r="L36" i="1"/>
  <c r="L35" i="1"/>
  <c r="F150" i="3" s="1"/>
  <c r="L34" i="1"/>
  <c r="F180" i="3" s="1"/>
  <c r="L33" i="1"/>
  <c r="F102" i="3" s="1"/>
  <c r="L32" i="1"/>
  <c r="L31" i="1"/>
  <c r="F171" i="3" s="1"/>
  <c r="L30" i="1"/>
  <c r="F124" i="3" s="1"/>
  <c r="L29" i="1"/>
  <c r="F118" i="3" s="1"/>
  <c r="L28" i="1"/>
  <c r="L27" i="1"/>
  <c r="L26" i="1"/>
  <c r="F170" i="3" s="1"/>
  <c r="L25" i="1"/>
  <c r="M25" i="1" s="1"/>
  <c r="L24" i="1"/>
  <c r="L23" i="1"/>
  <c r="F142" i="3" s="1"/>
  <c r="L22" i="1"/>
  <c r="F173" i="3" s="1"/>
  <c r="L21" i="1"/>
  <c r="F56" i="3" s="1"/>
  <c r="L20" i="1"/>
  <c r="F115" i="3" s="1"/>
  <c r="L19" i="1"/>
  <c r="F34" i="3" s="1"/>
  <c r="L18" i="1"/>
  <c r="L17" i="1"/>
  <c r="F107" i="3" s="1"/>
  <c r="L16" i="1"/>
  <c r="F38" i="3" s="1"/>
  <c r="L15" i="1"/>
  <c r="F25" i="3" s="1"/>
  <c r="L14" i="1"/>
  <c r="F122" i="3" s="1"/>
  <c r="L13" i="1"/>
  <c r="M13" i="1" s="1"/>
  <c r="N13" i="1" s="1"/>
  <c r="L12" i="1"/>
  <c r="F46" i="3" s="1"/>
  <c r="L11" i="1"/>
  <c r="F158" i="3" s="1"/>
  <c r="L10" i="1"/>
  <c r="F109" i="3" s="1"/>
  <c r="L9" i="1"/>
  <c r="F95" i="3" s="1"/>
  <c r="F87" i="3"/>
  <c r="M101" i="1" l="1"/>
  <c r="N101" i="1" s="1"/>
  <c r="M124" i="1"/>
  <c r="N124" i="1" s="1"/>
  <c r="M198" i="1"/>
  <c r="N198" i="1" s="1"/>
  <c r="M223" i="1"/>
  <c r="N223" i="1" s="1"/>
  <c r="M94" i="1"/>
  <c r="N94" i="1" s="1"/>
  <c r="M35" i="1"/>
  <c r="N35" i="1" s="1"/>
  <c r="F396" i="3"/>
  <c r="M153" i="1"/>
  <c r="N153" i="1" s="1"/>
  <c r="M189" i="1"/>
  <c r="N189" i="1" s="1"/>
  <c r="M287" i="1"/>
  <c r="N287" i="1" s="1"/>
  <c r="M144" i="1"/>
  <c r="N144" i="1" s="1"/>
  <c r="M322" i="1"/>
  <c r="N322" i="1" s="1"/>
  <c r="F141" i="3"/>
  <c r="M59" i="1"/>
  <c r="N59" i="1" s="1"/>
  <c r="M76" i="1"/>
  <c r="N76" i="1" s="1"/>
  <c r="M109" i="1"/>
  <c r="N109" i="1" s="1"/>
  <c r="M135" i="1"/>
  <c r="N135" i="1" s="1"/>
  <c r="M117" i="1"/>
  <c r="N117" i="1" s="1"/>
  <c r="M306" i="1"/>
  <c r="N306" i="1" s="1"/>
  <c r="M68" i="1"/>
  <c r="N68" i="1" s="1"/>
  <c r="M110" i="1"/>
  <c r="N110" i="1" s="1"/>
  <c r="M181" i="1"/>
  <c r="N181" i="1" s="1"/>
  <c r="M250" i="1"/>
  <c r="N250" i="1" s="1"/>
  <c r="F262" i="3"/>
  <c r="M268" i="1"/>
  <c r="N268" i="1" s="1"/>
  <c r="M296" i="1"/>
  <c r="N296" i="1" s="1"/>
  <c r="M10" i="1"/>
  <c r="N10" i="1" s="1"/>
  <c r="M11" i="1"/>
  <c r="N11" i="1" s="1"/>
  <c r="M55" i="1"/>
  <c r="N55" i="1" s="1"/>
  <c r="M89" i="1"/>
  <c r="N89" i="1" s="1"/>
  <c r="F41" i="3"/>
  <c r="M105" i="1"/>
  <c r="N105" i="1" s="1"/>
  <c r="F104" i="3"/>
  <c r="M194" i="1"/>
  <c r="N194" i="1" s="1"/>
  <c r="M81" i="1"/>
  <c r="N81" i="1" s="1"/>
  <c r="M131" i="1"/>
  <c r="N131" i="1" s="1"/>
  <c r="F351" i="3"/>
  <c r="M313" i="1"/>
  <c r="N313" i="1" s="1"/>
  <c r="M332" i="1"/>
  <c r="N332" i="1" s="1"/>
  <c r="M341" i="1"/>
  <c r="N341" i="1" s="1"/>
  <c r="M29" i="1"/>
  <c r="N29" i="1" s="1"/>
  <c r="M132" i="1"/>
  <c r="N132" i="1" s="1"/>
  <c r="F166" i="3"/>
  <c r="M152" i="1"/>
  <c r="N152" i="1" s="1"/>
  <c r="M48" i="1"/>
  <c r="N48" i="1" s="1"/>
  <c r="M82" i="1"/>
  <c r="N82" i="1" s="1"/>
  <c r="M90" i="1"/>
  <c r="N90" i="1" s="1"/>
  <c r="F10" i="3"/>
  <c r="M133" i="1"/>
  <c r="N133" i="1" s="1"/>
  <c r="M235" i="1"/>
  <c r="N235" i="1" s="1"/>
  <c r="M22" i="1"/>
  <c r="N22" i="1" s="1"/>
  <c r="M108" i="1"/>
  <c r="N108" i="1" s="1"/>
  <c r="M116" i="1"/>
  <c r="N116" i="1" s="1"/>
  <c r="M161" i="1"/>
  <c r="N161" i="1" s="1"/>
  <c r="M218" i="1"/>
  <c r="N218" i="1" s="1"/>
  <c r="M226" i="1"/>
  <c r="N226" i="1" s="1"/>
  <c r="M265" i="1"/>
  <c r="N265" i="1" s="1"/>
  <c r="M273" i="1"/>
  <c r="N273" i="1" s="1"/>
  <c r="M15" i="1"/>
  <c r="N15" i="1" s="1"/>
  <c r="M67" i="1"/>
  <c r="N67" i="1" s="1"/>
  <c r="F40" i="3"/>
  <c r="M125" i="1"/>
  <c r="N125" i="1" s="1"/>
  <c r="M210" i="1"/>
  <c r="N210" i="1" s="1"/>
  <c r="M257" i="1"/>
  <c r="N257" i="1" s="1"/>
  <c r="M202" i="1"/>
  <c r="M60" i="1"/>
  <c r="N60" i="1" s="1"/>
  <c r="F45" i="3"/>
  <c r="M148" i="1"/>
  <c r="N148" i="1" s="1"/>
  <c r="M212" i="1"/>
  <c r="N212" i="1" s="1"/>
  <c r="M240" i="1"/>
  <c r="N240" i="1" s="1"/>
  <c r="M259" i="1"/>
  <c r="N259" i="1" s="1"/>
  <c r="F13" i="3"/>
  <c r="M18" i="1"/>
  <c r="N18" i="1" s="1"/>
  <c r="M54" i="1"/>
  <c r="N54" i="1" s="1"/>
  <c r="M103" i="1"/>
  <c r="N103" i="1" s="1"/>
  <c r="M175" i="1"/>
  <c r="N175" i="1" s="1"/>
  <c r="F280" i="3"/>
  <c r="M278" i="1"/>
  <c r="N278" i="1" s="1"/>
  <c r="M183" i="1"/>
  <c r="N183" i="1" s="1"/>
  <c r="F227" i="3"/>
  <c r="M204" i="1"/>
  <c r="N204" i="1" s="1"/>
  <c r="M251" i="1"/>
  <c r="N251" i="1" s="1"/>
  <c r="M289" i="1"/>
  <c r="N289" i="1" s="1"/>
  <c r="F44" i="3"/>
  <c r="M171" i="1"/>
  <c r="N171" i="1" s="1"/>
  <c r="M23" i="1"/>
  <c r="N23" i="1" s="1"/>
  <c r="M84" i="1"/>
  <c r="N84" i="1" s="1"/>
  <c r="M191" i="1"/>
  <c r="N191" i="1" s="1"/>
  <c r="M129" i="1"/>
  <c r="N129" i="1" s="1"/>
  <c r="F125" i="3"/>
  <c r="M203" i="1"/>
  <c r="N203" i="1" s="1"/>
  <c r="M97" i="1"/>
  <c r="N97" i="1" s="1"/>
  <c r="M37" i="1"/>
  <c r="N37" i="1" s="1"/>
  <c r="M167" i="1"/>
  <c r="N167" i="1" s="1"/>
  <c r="F23" i="3"/>
  <c r="M56" i="1"/>
  <c r="N56" i="1" s="1"/>
  <c r="F57" i="3"/>
  <c r="M98" i="1"/>
  <c r="N98" i="1" s="1"/>
  <c r="F297" i="3"/>
  <c r="M280" i="1"/>
  <c r="N280" i="1" s="1"/>
  <c r="M245" i="1"/>
  <c r="N245" i="1" s="1"/>
  <c r="M274" i="1"/>
  <c r="M292" i="1"/>
  <c r="N292" i="1" s="1"/>
  <c r="M308" i="1"/>
  <c r="N308" i="1" s="1"/>
  <c r="M33" i="1"/>
  <c r="N33" i="1" s="1"/>
  <c r="M71" i="1"/>
  <c r="N71" i="1" s="1"/>
  <c r="M111" i="1"/>
  <c r="N111" i="1" s="1"/>
  <c r="M140" i="1"/>
  <c r="N140" i="1" s="1"/>
  <c r="M163" i="1"/>
  <c r="N163" i="1" s="1"/>
  <c r="M236" i="1"/>
  <c r="N236" i="1" s="1"/>
  <c r="M252" i="1"/>
  <c r="N252" i="1" s="1"/>
  <c r="M261" i="1"/>
  <c r="N261" i="1" s="1"/>
  <c r="M327" i="1"/>
  <c r="N327" i="1" s="1"/>
  <c r="M343" i="1"/>
  <c r="N343" i="1" s="1"/>
  <c r="M85" i="1"/>
  <c r="N85" i="1" s="1"/>
  <c r="M106" i="1"/>
  <c r="N106" i="1" s="1"/>
  <c r="M179" i="1"/>
  <c r="N179" i="1" s="1"/>
  <c r="M187" i="1"/>
  <c r="N187" i="1" s="1"/>
  <c r="M214" i="1"/>
  <c r="N214" i="1" s="1"/>
  <c r="M222" i="1"/>
  <c r="N222" i="1" s="1"/>
  <c r="M246" i="1"/>
  <c r="M303" i="1"/>
  <c r="N303" i="1" s="1"/>
  <c r="M19" i="1"/>
  <c r="N19" i="1" s="1"/>
  <c r="M58" i="1"/>
  <c r="N58" i="1" s="1"/>
  <c r="M64" i="1"/>
  <c r="N64" i="1" s="1"/>
  <c r="M93" i="1"/>
  <c r="N93" i="1" s="1"/>
  <c r="M134" i="1"/>
  <c r="N134" i="1" s="1"/>
  <c r="M206" i="1"/>
  <c r="N206" i="1" s="1"/>
  <c r="M293" i="1"/>
  <c r="N293" i="1" s="1"/>
  <c r="M328" i="1"/>
  <c r="N328" i="1" s="1"/>
  <c r="F266" i="3"/>
  <c r="M14" i="1"/>
  <c r="N14" i="1" s="1"/>
  <c r="M43" i="1"/>
  <c r="N43" i="1" s="1"/>
  <c r="M52" i="1"/>
  <c r="N52" i="1" s="1"/>
  <c r="M72" i="1"/>
  <c r="N72" i="1" s="1"/>
  <c r="M80" i="1"/>
  <c r="N80" i="1" s="1"/>
  <c r="M113" i="1"/>
  <c r="N113" i="1" s="1"/>
  <c r="M120" i="1"/>
  <c r="N120" i="1" s="1"/>
  <c r="M142" i="1"/>
  <c r="N142" i="1" s="1"/>
  <c r="M165" i="1"/>
  <c r="N165" i="1" s="1"/>
  <c r="M180" i="1"/>
  <c r="N180" i="1" s="1"/>
  <c r="M271" i="1"/>
  <c r="N271" i="1" s="1"/>
  <c r="M277" i="1"/>
  <c r="N277" i="1" s="1"/>
  <c r="M304" i="1"/>
  <c r="N304" i="1" s="1"/>
  <c r="S228" i="2"/>
  <c r="F56" i="4"/>
  <c r="F96" i="4"/>
  <c r="S80" i="2"/>
  <c r="F176" i="4"/>
  <c r="S37" i="2"/>
  <c r="S116" i="2"/>
  <c r="F60" i="4"/>
  <c r="M154" i="1"/>
  <c r="N154" i="1" s="1"/>
  <c r="S18" i="2"/>
  <c r="F82" i="4"/>
  <c r="S159" i="2"/>
  <c r="F103" i="4"/>
  <c r="S225" i="2"/>
  <c r="F39" i="4"/>
  <c r="S172" i="2"/>
  <c r="F6" i="4"/>
  <c r="S191" i="2"/>
  <c r="F19" i="4"/>
  <c r="S240" i="2"/>
  <c r="M16" i="1"/>
  <c r="N16" i="1" s="1"/>
  <c r="F39" i="3"/>
  <c r="M121" i="1"/>
  <c r="N121" i="1" s="1"/>
  <c r="F205" i="4"/>
  <c r="S113" i="2"/>
  <c r="F144" i="3"/>
  <c r="M91" i="1"/>
  <c r="N91" i="1" s="1"/>
  <c r="F110" i="4"/>
  <c r="S243" i="2"/>
  <c r="F94" i="4"/>
  <c r="S85" i="2"/>
  <c r="F159" i="4"/>
  <c r="S202" i="2"/>
  <c r="F133" i="4"/>
  <c r="S61" i="2"/>
  <c r="S198" i="2"/>
  <c r="F102" i="4"/>
  <c r="M99" i="1"/>
  <c r="N99" i="1" s="1"/>
  <c r="M192" i="1"/>
  <c r="N192" i="1" s="1"/>
  <c r="F148" i="3"/>
  <c r="M36" i="1"/>
  <c r="N36" i="1" s="1"/>
  <c r="F5" i="3"/>
  <c r="M149" i="1"/>
  <c r="N149" i="1" s="1"/>
  <c r="F235" i="4"/>
  <c r="S43" i="2"/>
  <c r="F63" i="4"/>
  <c r="S121" i="2"/>
  <c r="F168" i="3"/>
  <c r="M47" i="1"/>
  <c r="N47" i="1" s="1"/>
  <c r="F194" i="3"/>
  <c r="M173" i="1"/>
  <c r="N173" i="1" s="1"/>
  <c r="F50" i="4"/>
  <c r="S73" i="2"/>
  <c r="F121" i="4"/>
  <c r="S205" i="2"/>
  <c r="F187" i="4"/>
  <c r="S146" i="2"/>
  <c r="F71" i="3"/>
  <c r="M159" i="1"/>
  <c r="N159" i="1" s="1"/>
  <c r="F340" i="3"/>
  <c r="M301" i="1"/>
  <c r="N301" i="1" s="1"/>
  <c r="F71" i="4"/>
  <c r="S128" i="2"/>
  <c r="F43" i="3"/>
  <c r="M32" i="1"/>
  <c r="N32" i="1" s="1"/>
  <c r="F182" i="3"/>
  <c r="F186" i="3" s="1"/>
  <c r="M39" i="1"/>
  <c r="N39" i="1" s="1"/>
  <c r="M130" i="1"/>
  <c r="N130" i="1" s="1"/>
  <c r="L253" i="1"/>
  <c r="F171" i="4"/>
  <c r="S88" i="2"/>
  <c r="F128" i="3"/>
  <c r="M27" i="1"/>
  <c r="N27" i="1" s="1"/>
  <c r="F15" i="3"/>
  <c r="M24" i="1"/>
  <c r="N24" i="1" s="1"/>
  <c r="F285" i="3"/>
  <c r="M238" i="1"/>
  <c r="N238" i="1" s="1"/>
  <c r="F302" i="3"/>
  <c r="M247" i="1"/>
  <c r="F28" i="4"/>
  <c r="S16" i="2"/>
  <c r="F383" i="4"/>
  <c r="F384" i="4" s="1"/>
  <c r="R385" i="2"/>
  <c r="S385" i="2" s="1"/>
  <c r="F299" i="3"/>
  <c r="M267" i="1"/>
  <c r="F382" i="3"/>
  <c r="M342" i="1"/>
  <c r="N342" i="1" s="1"/>
  <c r="F32" i="4"/>
  <c r="S110" i="2"/>
  <c r="F36" i="4"/>
  <c r="S141" i="2"/>
  <c r="S293" i="2"/>
  <c r="F304" i="4"/>
  <c r="F7" i="3"/>
  <c r="M77" i="1"/>
  <c r="N77" i="1" s="1"/>
  <c r="F96" i="3"/>
  <c r="M136" i="1"/>
  <c r="N136" i="1" s="1"/>
  <c r="L248" i="1"/>
  <c r="F339" i="3"/>
  <c r="M302" i="1"/>
  <c r="N302" i="1" s="1"/>
  <c r="L307" i="1"/>
  <c r="S31" i="2"/>
  <c r="F137" i="4"/>
  <c r="S56" i="2"/>
  <c r="F130" i="4"/>
  <c r="S126" i="2"/>
  <c r="F203" i="4"/>
  <c r="S195" i="2"/>
  <c r="F508" i="4"/>
  <c r="R501" i="2"/>
  <c r="S501" i="2" s="1"/>
  <c r="F77" i="4"/>
  <c r="S44" i="2"/>
  <c r="S239" i="2"/>
  <c r="F120" i="4"/>
  <c r="F172" i="3"/>
  <c r="M28" i="1"/>
  <c r="N28" i="1" s="1"/>
  <c r="L40" i="1"/>
  <c r="M95" i="1"/>
  <c r="N95" i="1" s="1"/>
  <c r="M112" i="1"/>
  <c r="N112" i="1" s="1"/>
  <c r="F101" i="3"/>
  <c r="M150" i="1"/>
  <c r="N150" i="1" s="1"/>
  <c r="M168" i="1"/>
  <c r="N168" i="1" s="1"/>
  <c r="M224" i="1"/>
  <c r="N224" i="1" s="1"/>
  <c r="M262" i="1"/>
  <c r="N262" i="1" s="1"/>
  <c r="M337" i="1"/>
  <c r="F232" i="4"/>
  <c r="S32" i="2"/>
  <c r="F85" i="4"/>
  <c r="S52" i="2"/>
  <c r="S107" i="2"/>
  <c r="F172" i="4"/>
  <c r="S111" i="2"/>
  <c r="F70" i="4"/>
  <c r="S134" i="2"/>
  <c r="F143" i="4"/>
  <c r="S138" i="2"/>
  <c r="S208" i="2"/>
  <c r="S258" i="2"/>
  <c r="F210" i="4"/>
  <c r="M78" i="1"/>
  <c r="N78" i="1" s="1"/>
  <c r="M219" i="1"/>
  <c r="N219" i="1" s="1"/>
  <c r="F215" i="3"/>
  <c r="M225" i="1"/>
  <c r="N225" i="1" s="1"/>
  <c r="F316" i="3"/>
  <c r="M285" i="1"/>
  <c r="F46" i="4"/>
  <c r="S20" i="2"/>
  <c r="F183" i="4"/>
  <c r="S40" i="2"/>
  <c r="S100" i="2"/>
  <c r="F220" i="4"/>
  <c r="S104" i="2"/>
  <c r="F53" i="4"/>
  <c r="S119" i="2"/>
  <c r="F35" i="4"/>
  <c r="S123" i="2"/>
  <c r="S149" i="2"/>
  <c r="F163" i="4"/>
  <c r="S212" i="2"/>
  <c r="S235" i="2"/>
  <c r="F284" i="4"/>
  <c r="F173" i="4"/>
  <c r="S68" i="2"/>
  <c r="S137" i="2"/>
  <c r="F97" i="4"/>
  <c r="F200" i="4"/>
  <c r="S274" i="2"/>
  <c r="F32" i="3"/>
  <c r="M100" i="1"/>
  <c r="N100" i="1" s="1"/>
  <c r="F86" i="3"/>
  <c r="M155" i="1"/>
  <c r="N155" i="1" s="1"/>
  <c r="F265" i="4"/>
  <c r="S76" i="2"/>
  <c r="F157" i="4"/>
  <c r="S122" i="2"/>
  <c r="R333" i="2"/>
  <c r="S333" i="2" s="1"/>
  <c r="F362" i="4"/>
  <c r="M12" i="1"/>
  <c r="N12" i="1" s="1"/>
  <c r="F199" i="3"/>
  <c r="M65" i="1"/>
  <c r="N65" i="1" s="1"/>
  <c r="F235" i="3"/>
  <c r="M205" i="1"/>
  <c r="N205" i="1" s="1"/>
  <c r="L227" i="1"/>
  <c r="C407" i="3" s="1"/>
  <c r="L242" i="1"/>
  <c r="S19" i="2"/>
  <c r="F167" i="4"/>
  <c r="S64" i="2"/>
  <c r="S188" i="2"/>
  <c r="F230" i="4"/>
  <c r="S215" i="2"/>
  <c r="L158" i="1"/>
  <c r="F14" i="3"/>
  <c r="M182" i="1"/>
  <c r="N182" i="1" s="1"/>
  <c r="F274" i="3"/>
  <c r="M237" i="1"/>
  <c r="N237" i="1" s="1"/>
  <c r="F351" i="1"/>
  <c r="L338" i="1"/>
  <c r="F231" i="4"/>
  <c r="S28" i="2"/>
  <c r="F54" i="4"/>
  <c r="S82" i="2"/>
  <c r="F148" i="4"/>
  <c r="S153" i="2"/>
  <c r="F65" i="4"/>
  <c r="S231" i="2"/>
  <c r="S279" i="2"/>
  <c r="F297" i="4"/>
  <c r="S295" i="2"/>
  <c r="F391" i="4"/>
  <c r="R377" i="2"/>
  <c r="R405" i="2"/>
  <c r="S405" i="2" s="1"/>
  <c r="F400" i="4"/>
  <c r="F143" i="3"/>
  <c r="M73" i="1"/>
  <c r="N73" i="1" s="1"/>
  <c r="M145" i="1"/>
  <c r="N145" i="1" s="1"/>
  <c r="M196" i="1"/>
  <c r="N196" i="1" s="1"/>
  <c r="F223" i="3"/>
  <c r="M220" i="1"/>
  <c r="N220" i="1" s="1"/>
  <c r="M275" i="1"/>
  <c r="N275" i="1" s="1"/>
  <c r="F354" i="3"/>
  <c r="M314" i="1"/>
  <c r="N314" i="1" s="1"/>
  <c r="S49" i="2"/>
  <c r="S70" i="2"/>
  <c r="F242" i="4"/>
  <c r="S78" i="2"/>
  <c r="F83" i="4"/>
  <c r="S97" i="2"/>
  <c r="S131" i="2"/>
  <c r="R416" i="2"/>
  <c r="S416" i="2" s="1"/>
  <c r="F439" i="4"/>
  <c r="R422" i="2"/>
  <c r="S422" i="2" s="1"/>
  <c r="G351" i="1"/>
  <c r="F253" i="4"/>
  <c r="S66" i="2"/>
  <c r="F170" i="4"/>
  <c r="S186" i="2"/>
  <c r="F42" i="3"/>
  <c r="M74" i="1"/>
  <c r="N74" i="1" s="1"/>
  <c r="F362" i="3"/>
  <c r="F363" i="3" s="1"/>
  <c r="M320" i="1"/>
  <c r="F368" i="3"/>
  <c r="M330" i="1"/>
  <c r="N330" i="1" s="1"/>
  <c r="S13" i="2"/>
  <c r="S46" i="2"/>
  <c r="F67" i="4"/>
  <c r="S54" i="2"/>
  <c r="F256" i="4"/>
  <c r="S79" i="2"/>
  <c r="F181" i="4"/>
  <c r="S83" i="2"/>
  <c r="S94" i="2"/>
  <c r="F51" i="4"/>
  <c r="S182" i="2"/>
  <c r="F87" i="4"/>
  <c r="S201" i="2"/>
  <c r="F206" i="4"/>
  <c r="S249" i="2"/>
  <c r="F345" i="4"/>
  <c r="R340" i="2"/>
  <c r="S340" i="2" s="1"/>
  <c r="F281" i="3"/>
  <c r="M281" i="1"/>
  <c r="N281" i="1" s="1"/>
  <c r="F162" i="4"/>
  <c r="S165" i="2"/>
  <c r="S254" i="2"/>
  <c r="F193" i="4"/>
  <c r="S25" i="2"/>
  <c r="M31" i="1"/>
  <c r="N31" i="1" s="1"/>
  <c r="F152" i="3"/>
  <c r="M69" i="1"/>
  <c r="N69" i="1" s="1"/>
  <c r="M86" i="1"/>
  <c r="N86" i="1" s="1"/>
  <c r="S34" i="2"/>
  <c r="F254" i="4"/>
  <c r="S98" i="2"/>
  <c r="F105" i="4"/>
  <c r="S140" i="2"/>
  <c r="S174" i="2"/>
  <c r="F248" i="4"/>
  <c r="S178" i="2"/>
  <c r="F202" i="4"/>
  <c r="S250" i="2"/>
  <c r="F367" i="4"/>
  <c r="R345" i="2"/>
  <c r="S345" i="2" s="1"/>
  <c r="R384" i="2"/>
  <c r="S384" i="2" s="1"/>
  <c r="F389" i="4"/>
  <c r="F295" i="3"/>
  <c r="M276" i="1"/>
  <c r="N276" i="1" s="1"/>
  <c r="F372" i="3"/>
  <c r="M329" i="1"/>
  <c r="F73" i="4"/>
  <c r="S154" i="2"/>
  <c r="F146" i="4"/>
  <c r="S169" i="2"/>
  <c r="F97" i="3"/>
  <c r="M197" i="1"/>
  <c r="N197" i="1" s="1"/>
  <c r="F100" i="3"/>
  <c r="M44" i="1"/>
  <c r="N44" i="1" s="1"/>
  <c r="M104" i="1"/>
  <c r="N104" i="1" s="1"/>
  <c r="M215" i="1"/>
  <c r="N215" i="1" s="1"/>
  <c r="F276" i="3"/>
  <c r="M233" i="1"/>
  <c r="N233" i="1" s="1"/>
  <c r="F317" i="3"/>
  <c r="M294" i="1"/>
  <c r="N294" i="1" s="1"/>
  <c r="F142" i="4"/>
  <c r="S42" i="2"/>
  <c r="M20" i="1"/>
  <c r="N20" i="1" s="1"/>
  <c r="M51" i="1"/>
  <c r="N51" i="1" s="1"/>
  <c r="M172" i="1"/>
  <c r="N172" i="1" s="1"/>
  <c r="M266" i="1"/>
  <c r="N266" i="1" s="1"/>
  <c r="N300" i="1"/>
  <c r="L323" i="1"/>
  <c r="C412" i="3" s="1"/>
  <c r="S22" i="2"/>
  <c r="S30" i="2"/>
  <c r="F139" i="4"/>
  <c r="S67" i="2"/>
  <c r="S125" i="2"/>
  <c r="F245" i="4"/>
  <c r="S162" i="2"/>
  <c r="F7" i="4"/>
  <c r="S183" i="2"/>
  <c r="F258" i="4"/>
  <c r="S194" i="2"/>
  <c r="F266" i="4"/>
  <c r="S218" i="2"/>
  <c r="F311" i="4"/>
  <c r="R390" i="2"/>
  <c r="S390" i="2" s="1"/>
  <c r="F399" i="4"/>
  <c r="F130" i="3"/>
  <c r="M61" i="1"/>
  <c r="N61" i="1" s="1"/>
  <c r="F255" i="4"/>
  <c r="S251" i="2"/>
  <c r="M9" i="1"/>
  <c r="N9" i="1" s="1"/>
  <c r="M21" i="1"/>
  <c r="N21" i="1" s="1"/>
  <c r="F133" i="3"/>
  <c r="M57" i="1"/>
  <c r="N57" i="1" s="1"/>
  <c r="M70" i="1"/>
  <c r="N70" i="1" s="1"/>
  <c r="M87" i="1"/>
  <c r="N87" i="1" s="1"/>
  <c r="M96" i="1"/>
  <c r="N96" i="1" s="1"/>
  <c r="M141" i="1"/>
  <c r="N141" i="1" s="1"/>
  <c r="M151" i="1"/>
  <c r="N151" i="1" s="1"/>
  <c r="F77" i="3"/>
  <c r="M164" i="1"/>
  <c r="N164" i="1" s="1"/>
  <c r="M188" i="1"/>
  <c r="N188" i="1" s="1"/>
  <c r="F300" i="3"/>
  <c r="M234" i="1"/>
  <c r="N234" i="1" s="1"/>
  <c r="M243" i="1"/>
  <c r="N243" i="1" s="1"/>
  <c r="F325" i="3"/>
  <c r="M295" i="1"/>
  <c r="N295" i="1" s="1"/>
  <c r="M326" i="1"/>
  <c r="F374" i="3"/>
  <c r="F147" i="4"/>
  <c r="S38" i="2"/>
  <c r="F98" i="4"/>
  <c r="S62" i="2"/>
  <c r="F62" i="4"/>
  <c r="S92" i="2"/>
  <c r="F215" i="4"/>
  <c r="S132" i="2"/>
  <c r="F156" i="4"/>
  <c r="S160" i="2"/>
  <c r="S166" i="2"/>
  <c r="F79" i="4"/>
  <c r="S199" i="2"/>
  <c r="F93" i="4"/>
  <c r="S216" i="2"/>
  <c r="S244" i="2"/>
  <c r="F106" i="4"/>
  <c r="F334" i="4"/>
  <c r="R346" i="2"/>
  <c r="S346" i="2" s="1"/>
  <c r="F51" i="3"/>
  <c r="M66" i="1"/>
  <c r="N66" i="1" s="1"/>
  <c r="M137" i="1"/>
  <c r="N137" i="1" s="1"/>
  <c r="M146" i="1"/>
  <c r="N146" i="1" s="1"/>
  <c r="M230" i="1"/>
  <c r="M239" i="1"/>
  <c r="N239" i="1" s="1"/>
  <c r="D351" i="1"/>
  <c r="L339" i="1"/>
  <c r="S17" i="2"/>
  <c r="S59" i="2"/>
  <c r="S65" i="2"/>
  <c r="S71" i="2"/>
  <c r="F127" i="4"/>
  <c r="S86" i="2"/>
  <c r="F250" i="4"/>
  <c r="S129" i="2"/>
  <c r="F179" i="4"/>
  <c r="S157" i="2"/>
  <c r="S173" i="2"/>
  <c r="F31" i="4"/>
  <c r="S176" i="2"/>
  <c r="S189" i="2"/>
  <c r="S298" i="2"/>
  <c r="S306" i="2"/>
  <c r="R342" i="2"/>
  <c r="R367" i="2"/>
  <c r="F477" i="4"/>
  <c r="R461" i="2"/>
  <c r="S461" i="2" s="1"/>
  <c r="F342" i="3"/>
  <c r="F76" i="4"/>
  <c r="N25" i="1"/>
  <c r="M41" i="1"/>
  <c r="N41" i="1" s="1"/>
  <c r="F117" i="3"/>
  <c r="M49" i="1"/>
  <c r="N49" i="1" s="1"/>
  <c r="M62" i="1"/>
  <c r="N62" i="1" s="1"/>
  <c r="M75" i="1"/>
  <c r="N75" i="1" s="1"/>
  <c r="M88" i="1"/>
  <c r="N88" i="1" s="1"/>
  <c r="M114" i="1"/>
  <c r="N114" i="1" s="1"/>
  <c r="F78" i="3"/>
  <c r="M128" i="1"/>
  <c r="N128" i="1" s="1"/>
  <c r="F106" i="3"/>
  <c r="M147" i="1"/>
  <c r="N147" i="1" s="1"/>
  <c r="M156" i="1"/>
  <c r="N156" i="1" s="1"/>
  <c r="F110" i="3"/>
  <c r="M170" i="1"/>
  <c r="N170" i="1" s="1"/>
  <c r="M184" i="1"/>
  <c r="N184" i="1" s="1"/>
  <c r="N202" i="1"/>
  <c r="M207" i="1"/>
  <c r="N207" i="1" s="1"/>
  <c r="F236" i="3"/>
  <c r="M217" i="1"/>
  <c r="N217" i="1" s="1"/>
  <c r="M254" i="1"/>
  <c r="N254" i="1" s="1"/>
  <c r="F290" i="3"/>
  <c r="M264" i="1"/>
  <c r="N264" i="1" s="1"/>
  <c r="F319" i="3"/>
  <c r="M291" i="1"/>
  <c r="N291" i="1" s="1"/>
  <c r="M315" i="1"/>
  <c r="N315" i="1" s="1"/>
  <c r="E351" i="1"/>
  <c r="L349" i="1"/>
  <c r="F100" i="4"/>
  <c r="S219" i="2"/>
  <c r="S180" i="2"/>
  <c r="F88" i="4"/>
  <c r="S203" i="2"/>
  <c r="S206" i="2"/>
  <c r="F244" i="4"/>
  <c r="F15" i="4"/>
  <c r="S226" i="2"/>
  <c r="S233" i="2"/>
  <c r="F107" i="4"/>
  <c r="S241" i="2"/>
  <c r="F364" i="4"/>
  <c r="R355" i="2"/>
  <c r="S355" i="2" s="1"/>
  <c r="F381" i="4"/>
  <c r="F382" i="4" s="1"/>
  <c r="R392" i="2"/>
  <c r="S392" i="2" s="1"/>
  <c r="F79" i="3"/>
  <c r="F352" i="3"/>
  <c r="F282" i="4"/>
  <c r="S309" i="2"/>
  <c r="F409" i="4"/>
  <c r="R400" i="2"/>
  <c r="S400" i="2" s="1"/>
  <c r="F277" i="3"/>
  <c r="M272" i="1"/>
  <c r="N272" i="1" s="1"/>
  <c r="I351" i="1"/>
  <c r="S317" i="2"/>
  <c r="R337" i="2"/>
  <c r="S337" i="2" s="1"/>
  <c r="M17" i="1"/>
  <c r="N17" i="1" s="1"/>
  <c r="M122" i="1"/>
  <c r="N122" i="1" s="1"/>
  <c r="L127" i="1"/>
  <c r="M160" i="1"/>
  <c r="N160" i="1" s="1"/>
  <c r="F137" i="3"/>
  <c r="M193" i="1"/>
  <c r="N193" i="1" s="1"/>
  <c r="M211" i="1"/>
  <c r="N211" i="1" s="1"/>
  <c r="F216" i="3"/>
  <c r="M221" i="1"/>
  <c r="N221" i="1" s="1"/>
  <c r="F273" i="3"/>
  <c r="M249" i="1"/>
  <c r="N249" i="1" s="1"/>
  <c r="M258" i="1"/>
  <c r="N258" i="1" s="1"/>
  <c r="L290" i="1"/>
  <c r="L297" i="1" s="1"/>
  <c r="C409" i="3" s="1"/>
  <c r="M331" i="1"/>
  <c r="N331" i="1" s="1"/>
  <c r="F57" i="4"/>
  <c r="S14" i="2"/>
  <c r="F169" i="4"/>
  <c r="S26" i="2"/>
  <c r="F246" i="4"/>
  <c r="S50" i="2"/>
  <c r="F128" i="4"/>
  <c r="S74" i="2"/>
  <c r="F47" i="4"/>
  <c r="S89" i="2"/>
  <c r="S95" i="2"/>
  <c r="S101" i="2"/>
  <c r="S117" i="2"/>
  <c r="S147" i="2"/>
  <c r="F184" i="4"/>
  <c r="S163" i="2"/>
  <c r="F89" i="4"/>
  <c r="S192" i="2"/>
  <c r="S236" i="2"/>
  <c r="F48" i="4"/>
  <c r="S270" i="2"/>
  <c r="F276" i="4"/>
  <c r="S310" i="2"/>
  <c r="R370" i="2"/>
  <c r="S370" i="2" s="1"/>
  <c r="M45" i="1"/>
  <c r="N45" i="1" s="1"/>
  <c r="F84" i="3"/>
  <c r="M53" i="1"/>
  <c r="N53" i="1" s="1"/>
  <c r="M79" i="1"/>
  <c r="N79" i="1" s="1"/>
  <c r="M83" i="1"/>
  <c r="N83" i="1" s="1"/>
  <c r="M92" i="1"/>
  <c r="N92" i="1" s="1"/>
  <c r="M118" i="1"/>
  <c r="N118" i="1" s="1"/>
  <c r="M169" i="1"/>
  <c r="N169" i="1" s="1"/>
  <c r="M216" i="1"/>
  <c r="N216" i="1" s="1"/>
  <c r="M244" i="1"/>
  <c r="N244" i="1" s="1"/>
  <c r="F284" i="3"/>
  <c r="M263" i="1"/>
  <c r="N263" i="1" s="1"/>
  <c r="M347" i="1"/>
  <c r="S23" i="2"/>
  <c r="S29" i="2"/>
  <c r="S35" i="2"/>
  <c r="S41" i="2"/>
  <c r="S47" i="2"/>
  <c r="S53" i="2"/>
  <c r="S77" i="2"/>
  <c r="S114" i="2"/>
  <c r="F64" i="4"/>
  <c r="S196" i="2"/>
  <c r="S252" i="2"/>
  <c r="R330" i="2"/>
  <c r="S330" i="2" s="1"/>
  <c r="F346" i="4"/>
  <c r="R347" i="2"/>
  <c r="S347" i="2" s="1"/>
  <c r="F182" i="4"/>
  <c r="S12" i="2"/>
  <c r="F40" i="4"/>
  <c r="S102" i="2"/>
  <c r="F219" i="4"/>
  <c r="S193" i="2"/>
  <c r="S222" i="2"/>
  <c r="F192" i="4"/>
  <c r="F194" i="4"/>
  <c r="S267" i="2"/>
  <c r="F286" i="4"/>
  <c r="S311" i="2"/>
  <c r="R348" i="2"/>
  <c r="S348" i="2" s="1"/>
  <c r="F372" i="4"/>
  <c r="F472" i="4"/>
  <c r="R462" i="2"/>
  <c r="S462" i="2" s="1"/>
  <c r="F505" i="4"/>
  <c r="C530" i="4"/>
  <c r="R498" i="2"/>
  <c r="F104" i="4"/>
  <c r="F43" i="4"/>
  <c r="S24" i="2"/>
  <c r="F175" i="4"/>
  <c r="S48" i="2"/>
  <c r="F78" i="4"/>
  <c r="S84" i="2"/>
  <c r="S127" i="2"/>
  <c r="F160" i="4"/>
  <c r="F251" i="4"/>
  <c r="S200" i="2"/>
  <c r="F247" i="4"/>
  <c r="S234" i="2"/>
  <c r="F198" i="4"/>
  <c r="S257" i="2"/>
  <c r="F353" i="4"/>
  <c r="R339" i="2"/>
  <c r="S339" i="2" s="1"/>
  <c r="F396" i="4"/>
  <c r="R383" i="2"/>
  <c r="S383" i="2" s="1"/>
  <c r="F410" i="4"/>
  <c r="R403" i="2"/>
  <c r="S403" i="2" s="1"/>
  <c r="F193" i="3"/>
  <c r="M119" i="1"/>
  <c r="N119" i="1" s="1"/>
  <c r="F198" i="3"/>
  <c r="M143" i="1"/>
  <c r="N143" i="1" s="1"/>
  <c r="F16" i="3"/>
  <c r="M166" i="1"/>
  <c r="N166" i="1" s="1"/>
  <c r="L190" i="1"/>
  <c r="F265" i="3"/>
  <c r="M260" i="1"/>
  <c r="N260" i="1" s="1"/>
  <c r="F178" i="4"/>
  <c r="S36" i="2"/>
  <c r="F174" i="4"/>
  <c r="S60" i="2"/>
  <c r="F185" i="4"/>
  <c r="S72" i="2"/>
  <c r="F29" i="4"/>
  <c r="S87" i="2"/>
  <c r="F75" i="4"/>
  <c r="S130" i="2"/>
  <c r="F99" i="4"/>
  <c r="S145" i="2"/>
  <c r="M26" i="1"/>
  <c r="N26" i="1" s="1"/>
  <c r="M30" i="1"/>
  <c r="N30" i="1" s="1"/>
  <c r="M34" i="1"/>
  <c r="N34" i="1" s="1"/>
  <c r="M38" i="1"/>
  <c r="N38" i="1" s="1"/>
  <c r="M42" i="1"/>
  <c r="N42" i="1" s="1"/>
  <c r="M46" i="1"/>
  <c r="N46" i="1" s="1"/>
  <c r="M50" i="1"/>
  <c r="N50" i="1" s="1"/>
  <c r="M63" i="1"/>
  <c r="N63" i="1" s="1"/>
  <c r="M102" i="1"/>
  <c r="N102" i="1" s="1"/>
  <c r="M115" i="1"/>
  <c r="N115" i="1" s="1"/>
  <c r="M138" i="1"/>
  <c r="N138" i="1" s="1"/>
  <c r="M157" i="1"/>
  <c r="N157" i="1" s="1"/>
  <c r="M185" i="1"/>
  <c r="N185" i="1" s="1"/>
  <c r="M195" i="1"/>
  <c r="N195" i="1" s="1"/>
  <c r="M208" i="1"/>
  <c r="N208" i="1" s="1"/>
  <c r="F260" i="3"/>
  <c r="M241" i="1"/>
  <c r="N241" i="1" s="1"/>
  <c r="M255" i="1"/>
  <c r="N255" i="1" s="1"/>
  <c r="M270" i="1"/>
  <c r="N270" i="1" s="1"/>
  <c r="F355" i="3"/>
  <c r="M312" i="1"/>
  <c r="L317" i="1"/>
  <c r="C411" i="3" s="1"/>
  <c r="L333" i="1"/>
  <c r="L334" i="1" s="1"/>
  <c r="C413" i="3" s="1"/>
  <c r="M348" i="1"/>
  <c r="N348" i="1" s="1"/>
  <c r="S15" i="2"/>
  <c r="S21" i="2"/>
  <c r="S27" i="2"/>
  <c r="S33" i="2"/>
  <c r="S45" i="2"/>
  <c r="S51" i="2"/>
  <c r="S57" i="2"/>
  <c r="S63" i="2"/>
  <c r="S69" i="2"/>
  <c r="S75" i="2"/>
  <c r="F118" i="4"/>
  <c r="S81" i="2"/>
  <c r="S90" i="2"/>
  <c r="S93" i="2"/>
  <c r="F138" i="4"/>
  <c r="S124" i="2"/>
  <c r="S133" i="2"/>
  <c r="S136" i="2"/>
  <c r="S158" i="2"/>
  <c r="S164" i="2"/>
  <c r="F33" i="4"/>
  <c r="S171" i="2"/>
  <c r="S177" i="2"/>
  <c r="S184" i="2"/>
  <c r="S204" i="2"/>
  <c r="F239" i="4"/>
  <c r="S207" i="2"/>
  <c r="F259" i="4"/>
  <c r="S242" i="2"/>
  <c r="S285" i="2"/>
  <c r="F283" i="4"/>
  <c r="S296" i="2"/>
  <c r="R352" i="2"/>
  <c r="S352" i="2" s="1"/>
  <c r="R364" i="2"/>
  <c r="S364" i="2" s="1"/>
  <c r="F438" i="4"/>
  <c r="R428" i="2"/>
  <c r="S428" i="2" s="1"/>
  <c r="F267" i="3"/>
  <c r="F221" i="3"/>
  <c r="M213" i="1"/>
  <c r="N213" i="1" s="1"/>
  <c r="F75" i="3"/>
  <c r="M139" i="1"/>
  <c r="N139" i="1" s="1"/>
  <c r="F189" i="3"/>
  <c r="M162" i="1"/>
  <c r="N162" i="1" s="1"/>
  <c r="F58" i="3"/>
  <c r="M186" i="1"/>
  <c r="N186" i="1" s="1"/>
  <c r="M209" i="1"/>
  <c r="N209" i="1" s="1"/>
  <c r="F210" i="3"/>
  <c r="F212" i="3" s="1"/>
  <c r="F256" i="3"/>
  <c r="M232" i="1"/>
  <c r="N232" i="1" s="1"/>
  <c r="F268" i="3"/>
  <c r="M256" i="1"/>
  <c r="N256" i="1" s="1"/>
  <c r="F269" i="3"/>
  <c r="M279" i="1"/>
  <c r="N279" i="1" s="1"/>
  <c r="F320" i="3"/>
  <c r="M288" i="1"/>
  <c r="N288" i="1" s="1"/>
  <c r="F344" i="3"/>
  <c r="M305" i="1"/>
  <c r="N305" i="1" s="1"/>
  <c r="F86" i="4"/>
  <c r="S106" i="2"/>
  <c r="F122" i="4"/>
  <c r="S181" i="2"/>
  <c r="F114" i="4"/>
  <c r="S211" i="2"/>
  <c r="F52" i="4"/>
  <c r="S214" i="2"/>
  <c r="S223" i="2"/>
  <c r="F119" i="4"/>
  <c r="F26" i="4"/>
  <c r="S262" i="2"/>
  <c r="F388" i="4"/>
  <c r="R389" i="2"/>
  <c r="S389" i="2" s="1"/>
  <c r="F434" i="4"/>
  <c r="R429" i="2"/>
  <c r="S429" i="2" s="1"/>
  <c r="F461" i="4"/>
  <c r="R449" i="2"/>
  <c r="S449" i="2" s="1"/>
  <c r="F180" i="4"/>
  <c r="S175" i="2"/>
  <c r="F204" i="4"/>
  <c r="S269" i="2"/>
  <c r="S316" i="2"/>
  <c r="F305" i="4"/>
  <c r="F361" i="4"/>
  <c r="R356" i="2"/>
  <c r="S356" i="2" s="1"/>
  <c r="R371" i="2"/>
  <c r="S371" i="2" s="1"/>
  <c r="F342" i="4"/>
  <c r="F395" i="4"/>
  <c r="R391" i="2"/>
  <c r="S391" i="2" s="1"/>
  <c r="R458" i="2"/>
  <c r="S273" i="2"/>
  <c r="F211" i="4"/>
  <c r="F344" i="4"/>
  <c r="R353" i="2"/>
  <c r="S353" i="2" s="1"/>
  <c r="F366" i="4"/>
  <c r="R368" i="2"/>
  <c r="S368" i="2" s="1"/>
  <c r="F385" i="4"/>
  <c r="R382" i="2"/>
  <c r="S382" i="2" s="1"/>
  <c r="R468" i="2"/>
  <c r="S468" i="2" s="1"/>
  <c r="F474" i="4"/>
  <c r="S303" i="2"/>
  <c r="S323" i="2"/>
  <c r="C522" i="4"/>
  <c r="F371" i="4"/>
  <c r="R328" i="2"/>
  <c r="S328" i="2" s="1"/>
  <c r="F368" i="4"/>
  <c r="R372" i="2"/>
  <c r="R414" i="2"/>
  <c r="S414" i="2" s="1"/>
  <c r="F430" i="4"/>
  <c r="F429" i="4"/>
  <c r="R419" i="2"/>
  <c r="S419" i="2" s="1"/>
  <c r="F492" i="4"/>
  <c r="R477" i="2"/>
  <c r="F475" i="4"/>
  <c r="F301" i="4"/>
  <c r="S304" i="2"/>
  <c r="F435" i="4"/>
  <c r="R433" i="2"/>
  <c r="S433" i="2" s="1"/>
  <c r="R502" i="2"/>
  <c r="S502" i="2" s="1"/>
  <c r="F509" i="4"/>
  <c r="F489" i="4"/>
  <c r="F298" i="4"/>
  <c r="S284" i="2"/>
  <c r="F290" i="4"/>
  <c r="S294" i="2"/>
  <c r="F349" i="4"/>
  <c r="R329" i="2"/>
  <c r="S329" i="2" s="1"/>
  <c r="F343" i="4"/>
  <c r="R343" i="2"/>
  <c r="S343" i="2" s="1"/>
  <c r="F427" i="4"/>
  <c r="R420" i="2"/>
  <c r="S420" i="2" s="1"/>
  <c r="F476" i="4"/>
  <c r="R469" i="2"/>
  <c r="S469" i="2" s="1"/>
  <c r="F500" i="4"/>
  <c r="C529" i="4"/>
  <c r="R490" i="2"/>
  <c r="S490" i="2" s="1"/>
  <c r="F506" i="4"/>
  <c r="R499" i="2"/>
  <c r="S499" i="2" s="1"/>
  <c r="F351" i="4"/>
  <c r="F337" i="3"/>
  <c r="S291" i="2"/>
  <c r="F313" i="4"/>
  <c r="S318" i="2"/>
  <c r="R388" i="2"/>
  <c r="S388" i="2" s="1"/>
  <c r="R408" i="2"/>
  <c r="S408" i="2" s="1"/>
  <c r="F408" i="4"/>
  <c r="F457" i="4"/>
  <c r="C526" i="4"/>
  <c r="F487" i="4"/>
  <c r="R482" i="2"/>
  <c r="S482" i="2" s="1"/>
  <c r="F341" i="4"/>
  <c r="R331" i="2"/>
  <c r="S331" i="2" s="1"/>
  <c r="F352" i="4"/>
  <c r="R361" i="2"/>
  <c r="S361" i="2" s="1"/>
  <c r="F387" i="4"/>
  <c r="R378" i="2"/>
  <c r="S378" i="2" s="1"/>
  <c r="R381" i="2"/>
  <c r="S381" i="2" s="1"/>
  <c r="F394" i="4"/>
  <c r="F460" i="4"/>
  <c r="R450" i="2"/>
  <c r="S450" i="2" s="1"/>
  <c r="F317" i="4"/>
  <c r="F318" i="4" s="1"/>
  <c r="S312" i="2"/>
  <c r="R483" i="2"/>
  <c r="S483" i="2" s="1"/>
  <c r="F490" i="4"/>
  <c r="F335" i="4"/>
  <c r="R338" i="2"/>
  <c r="S338" i="2" s="1"/>
  <c r="F339" i="4"/>
  <c r="F369" i="4"/>
  <c r="R341" i="2"/>
  <c r="S341" i="2" s="1"/>
  <c r="R365" i="2"/>
  <c r="S365" i="2" s="1"/>
  <c r="R332" i="2"/>
  <c r="S332" i="2" s="1"/>
  <c r="F347" i="4"/>
  <c r="R373" i="2"/>
  <c r="S373" i="2" s="1"/>
  <c r="F386" i="4"/>
  <c r="R387" i="2"/>
  <c r="S387" i="2" s="1"/>
  <c r="R464" i="2"/>
  <c r="S464" i="2" s="1"/>
  <c r="F499" i="4"/>
  <c r="R491" i="2"/>
  <c r="S491" i="2" s="1"/>
  <c r="F291" i="4"/>
  <c r="F403" i="4"/>
  <c r="R409" i="2"/>
  <c r="S409" i="2" s="1"/>
  <c r="F448" i="4"/>
  <c r="R443" i="2"/>
  <c r="S443" i="2" s="1"/>
  <c r="F493" i="4"/>
  <c r="R481" i="2"/>
  <c r="S481" i="2" s="1"/>
  <c r="F338" i="4"/>
  <c r="F307" i="4"/>
  <c r="S319" i="2"/>
  <c r="R360" i="2"/>
  <c r="S360" i="2" s="1"/>
  <c r="R421" i="2"/>
  <c r="S421" i="2" s="1"/>
  <c r="F419" i="4"/>
  <c r="F420" i="4" s="1"/>
  <c r="R440" i="2"/>
  <c r="S440" i="2" s="1"/>
  <c r="S447" i="2"/>
  <c r="R463" i="2"/>
  <c r="S463" i="2" s="1"/>
  <c r="F480" i="4"/>
  <c r="C528" i="4"/>
  <c r="F469" i="4"/>
  <c r="R459" i="2"/>
  <c r="S459" i="2" s="1"/>
  <c r="F404" i="4"/>
  <c r="R399" i="2"/>
  <c r="S399" i="2" s="1"/>
  <c r="F422" i="4"/>
  <c r="F424" i="4" s="1"/>
  <c r="F426" i="4"/>
  <c r="R415" i="2"/>
  <c r="F240" i="3" l="1"/>
  <c r="F217" i="3"/>
  <c r="L199" i="1"/>
  <c r="C406" i="3" s="1"/>
  <c r="L282" i="1"/>
  <c r="C408" i="3" s="1"/>
  <c r="F356" i="3"/>
  <c r="F237" i="4"/>
  <c r="F314" i="4"/>
  <c r="F241" i="3"/>
  <c r="F326" i="3"/>
  <c r="F327" i="3" s="1"/>
  <c r="F433" i="4"/>
  <c r="R432" i="2"/>
  <c r="S432" i="2" s="1"/>
  <c r="S263" i="2"/>
  <c r="S276" i="2" s="1"/>
  <c r="F197" i="4"/>
  <c r="S259" i="2"/>
  <c r="R434" i="2"/>
  <c r="S434" i="2" s="1"/>
  <c r="F432" i="4"/>
  <c r="F332" i="3"/>
  <c r="F333" i="3" s="1"/>
  <c r="M307" i="1"/>
  <c r="N307" i="1" s="1"/>
  <c r="F31" i="3"/>
  <c r="F160" i="3" s="1"/>
  <c r="M158" i="1"/>
  <c r="N158" i="1" s="1"/>
  <c r="S458" i="2"/>
  <c r="F375" i="3"/>
  <c r="F376" i="3" s="1"/>
  <c r="M333" i="1"/>
  <c r="N333" i="1" s="1"/>
  <c r="F255" i="3"/>
  <c r="F257" i="3" s="1"/>
  <c r="M248" i="1"/>
  <c r="N248" i="1" s="1"/>
  <c r="R374" i="2"/>
  <c r="S374" i="2" s="1"/>
  <c r="F459" i="4"/>
  <c r="F462" i="4" s="1"/>
  <c r="D526" i="4" s="1"/>
  <c r="R453" i="2"/>
  <c r="F348" i="4"/>
  <c r="F375" i="4" s="1"/>
  <c r="F376" i="4" s="1"/>
  <c r="D522" i="4" s="1"/>
  <c r="R334" i="2"/>
  <c r="S334" i="2" s="1"/>
  <c r="F186" i="4"/>
  <c r="S224" i="2"/>
  <c r="F384" i="3"/>
  <c r="F390" i="3" s="1"/>
  <c r="M338" i="1"/>
  <c r="N338" i="1" s="1"/>
  <c r="L344" i="1"/>
  <c r="C414" i="3" s="1"/>
  <c r="S289" i="2"/>
  <c r="S313" i="2" s="1"/>
  <c r="F277" i="4"/>
  <c r="F279" i="4" s="1"/>
  <c r="F319" i="4" s="1"/>
  <c r="N285" i="1"/>
  <c r="F501" i="4"/>
  <c r="R494" i="2"/>
  <c r="C521" i="4"/>
  <c r="N312" i="1"/>
  <c r="M317" i="1"/>
  <c r="N317" i="1" s="1"/>
  <c r="C415" i="3"/>
  <c r="N337" i="1"/>
  <c r="F428" i="4"/>
  <c r="R430" i="2"/>
  <c r="S430" i="2" s="1"/>
  <c r="S320" i="2"/>
  <c r="F324" i="3"/>
  <c r="M290" i="1"/>
  <c r="N290" i="1" s="1"/>
  <c r="N326" i="1"/>
  <c r="M323" i="1"/>
  <c r="N320" i="1"/>
  <c r="R424" i="2"/>
  <c r="S415" i="2"/>
  <c r="S424" i="2" s="1"/>
  <c r="F195" i="4"/>
  <c r="S266" i="2"/>
  <c r="F494" i="4"/>
  <c r="R486" i="2"/>
  <c r="S486" i="2" s="1"/>
  <c r="F495" i="4"/>
  <c r="D528" i="4" s="1"/>
  <c r="F174" i="3"/>
  <c r="F176" i="3" s="1"/>
  <c r="M40" i="1"/>
  <c r="N40" i="1" s="1"/>
  <c r="F345" i="3"/>
  <c r="R505" i="2"/>
  <c r="S505" i="2" s="1"/>
  <c r="S498" i="2"/>
  <c r="F393" i="4"/>
  <c r="F413" i="4" s="1"/>
  <c r="F414" i="4" s="1"/>
  <c r="R380" i="2"/>
  <c r="S380" i="2" s="1"/>
  <c r="S477" i="2"/>
  <c r="F222" i="4"/>
  <c r="F512" i="4"/>
  <c r="D530" i="4" s="1"/>
  <c r="S271" i="2"/>
  <c r="F199" i="4"/>
  <c r="F386" i="3"/>
  <c r="M339" i="1"/>
  <c r="N339" i="1" s="1"/>
  <c r="F197" i="3"/>
  <c r="M190" i="1"/>
  <c r="N190" i="1" s="1"/>
  <c r="C524" i="4"/>
  <c r="F431" i="4"/>
  <c r="R427" i="2"/>
  <c r="F267" i="4"/>
  <c r="L309" i="1"/>
  <c r="C410" i="3" s="1"/>
  <c r="F201" i="4"/>
  <c r="S272" i="2"/>
  <c r="F401" i="4"/>
  <c r="R398" i="2"/>
  <c r="S398" i="2" s="1"/>
  <c r="M349" i="1"/>
  <c r="N347" i="1"/>
  <c r="N349" i="1" s="1"/>
  <c r="F191" i="3"/>
  <c r="F201" i="3" s="1"/>
  <c r="M127" i="1"/>
  <c r="N127" i="1" s="1"/>
  <c r="N230" i="1"/>
  <c r="F207" i="4"/>
  <c r="S256" i="2"/>
  <c r="F109" i="4"/>
  <c r="S11" i="2"/>
  <c r="F405" i="4"/>
  <c r="C523" i="4"/>
  <c r="R396" i="2"/>
  <c r="S255" i="2"/>
  <c r="F209" i="4"/>
  <c r="S377" i="2"/>
  <c r="F451" i="4"/>
  <c r="F452" i="4" s="1"/>
  <c r="R439" i="2"/>
  <c r="S439" i="2" s="1"/>
  <c r="R401" i="2"/>
  <c r="S401" i="2" s="1"/>
  <c r="F411" i="4"/>
  <c r="F249" i="3"/>
  <c r="F250" i="3" s="1"/>
  <c r="M242" i="1"/>
  <c r="N242" i="1" s="1"/>
  <c r="M227" i="1"/>
  <c r="F259" i="3"/>
  <c r="F304" i="3" s="1"/>
  <c r="M253" i="1"/>
  <c r="N253" i="1" s="1"/>
  <c r="L351" i="1" l="1"/>
  <c r="F305" i="3"/>
  <c r="M297" i="1"/>
  <c r="M334" i="1"/>
  <c r="M344" i="1"/>
  <c r="R393" i="2"/>
  <c r="F213" i="4"/>
  <c r="F268" i="4" s="1"/>
  <c r="S393" i="2"/>
  <c r="F440" i="4"/>
  <c r="F442" i="4" s="1"/>
  <c r="F402" i="3"/>
  <c r="F202" i="3"/>
  <c r="R435" i="2"/>
  <c r="R436" i="2" s="1"/>
  <c r="S427" i="2"/>
  <c r="S435" i="2" s="1"/>
  <c r="S436" i="2" s="1"/>
  <c r="M199" i="1"/>
  <c r="D521" i="4"/>
  <c r="M309" i="1"/>
  <c r="N309" i="1" s="1"/>
  <c r="N351" i="1" s="1"/>
  <c r="C520" i="4"/>
  <c r="S325" i="2"/>
  <c r="R487" i="2"/>
  <c r="S487" i="2" s="1"/>
  <c r="D523" i="4"/>
  <c r="C525" i="4"/>
  <c r="D525" i="4" s="1"/>
  <c r="R444" i="2"/>
  <c r="S444" i="2" s="1"/>
  <c r="D529" i="4"/>
  <c r="S453" i="2"/>
  <c r="R454" i="2"/>
  <c r="S454" i="2" s="1"/>
  <c r="D524" i="4"/>
  <c r="R473" i="2"/>
  <c r="F481" i="4"/>
  <c r="F482" i="4" s="1"/>
  <c r="C527" i="4"/>
  <c r="F346" i="3"/>
  <c r="S396" i="2"/>
  <c r="S410" i="2" s="1"/>
  <c r="S411" i="2" s="1"/>
  <c r="R410" i="2"/>
  <c r="R411" i="2" s="1"/>
  <c r="M282" i="1"/>
  <c r="D520" i="4" l="1"/>
  <c r="D527" i="4"/>
  <c r="F514" i="4"/>
  <c r="M351" i="1"/>
  <c r="S473" i="2"/>
  <c r="R474" i="2"/>
  <c r="S47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000-000064000000}">
      <text>
        <r>
          <rPr>
            <sz val="11"/>
            <color theme="1"/>
            <rFont val="Calibri"/>
            <scheme val="minor"/>
          </rPr>
          <t>======
ID#AAACDnfbJhw
    (2026-07-21 06:58:59)
Sacco July</t>
        </r>
      </text>
    </comment>
    <comment ref="E10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ID#AAACDnfbJfw
    (2026-07-21 06:58:59)
Sacco July</t>
        </r>
      </text>
    </comment>
    <comment ref="E12" authorId="0" shapeId="0" xr:uid="{00000000-0006-0000-0000-000023000000}">
      <text>
        <r>
          <rPr>
            <sz val="11"/>
            <color theme="1"/>
            <rFont val="Calibri"/>
            <scheme val="minor"/>
          </rPr>
          <t>======
ID#AAACDnfbJac
    (2026-07-21 06:58:59)
Sacco June</t>
        </r>
      </text>
    </comment>
    <comment ref="E15" authorId="0" shapeId="0" xr:uid="{00000000-0006-0000-0000-000047000000}">
      <text>
        <r>
          <rPr>
            <sz val="11"/>
            <color theme="1"/>
            <rFont val="Calibri"/>
            <scheme val="minor"/>
          </rPr>
          <t>======
ID#AAACDnfbPi8
    (2026-07-21 06:58:59)
Sacco June</t>
        </r>
      </text>
    </comment>
    <comment ref="E17" authorId="0" shapeId="0" xr:uid="{00000000-0006-0000-0000-000061000000}">
      <text>
        <r>
          <rPr>
            <sz val="11"/>
            <color theme="1"/>
            <rFont val="Calibri"/>
            <scheme val="minor"/>
          </rPr>
          <t>======
ID#AAACDnfbJco
    (2026-07-21 06:58:59)
Sacco June</t>
        </r>
      </text>
    </comment>
    <comment ref="E25" authorId="0" shapeId="0" xr:uid="{00000000-0006-0000-0000-00005D000000}">
      <text>
        <r>
          <rPr>
            <sz val="11"/>
            <color theme="1"/>
            <rFont val="Calibri"/>
            <scheme val="minor"/>
          </rPr>
          <t>======
ID#AAACDnfbJcE
    (2026-07-21 06:58:59)
Sacco June</t>
        </r>
      </text>
    </comment>
    <comment ref="E27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ID#AAACDnfbJfM
    (2026-07-21 06:58:59)
Sacco June</t>
        </r>
      </text>
    </comment>
    <comment ref="E28" authorId="0" shapeId="0" xr:uid="{00000000-0006-0000-0000-00001F000000}">
      <text>
        <r>
          <rPr>
            <sz val="11"/>
            <color theme="1"/>
            <rFont val="Calibri"/>
            <scheme val="minor"/>
          </rPr>
          <t>======
ID#AAACDnfbJf4
    (2026-07-21 06:58:59)
Sacco June</t>
        </r>
      </text>
    </comment>
    <comment ref="E31" authorId="0" shapeId="0" xr:uid="{00000000-0006-0000-0000-000043000000}">
      <text>
        <r>
          <rPr>
            <sz val="11"/>
            <color theme="1"/>
            <rFont val="Calibri"/>
            <scheme val="minor"/>
          </rPr>
          <t>======
ID#AAACDnfbJgk
    (2026-07-21 06:58:59)
Sacco June</t>
        </r>
      </text>
    </comment>
    <comment ref="E34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ID#AAACDnfbPiM
    (2026-07-21 06:58:59)
Sacco June</t>
        </r>
      </text>
    </comment>
    <comment ref="E35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ID#AAACDnfbJaw
    (2026-07-21 06:58:59)
Sacco June</t>
        </r>
      </text>
    </comment>
    <comment ref="E39" authorId="0" shapeId="0" xr:uid="{00000000-0006-0000-0000-00003E000000}">
      <text>
        <r>
          <rPr>
            <sz val="11"/>
            <color theme="1"/>
            <rFont val="Calibri"/>
            <scheme val="minor"/>
          </rPr>
          <t>======
ID#AAACDnfbJhU
    (2026-07-21 06:58:59)
Sacco July</t>
        </r>
      </text>
    </comment>
    <comment ref="E46" authorId="0" shapeId="0" xr:uid="{00000000-0006-0000-0000-00002D000000}">
      <text>
        <r>
          <rPr>
            <sz val="11"/>
            <color theme="1"/>
            <rFont val="Calibri"/>
            <scheme val="minor"/>
          </rPr>
          <t>======
ID#AAACDnfbPiE
    (2026-07-21 06:58:59)
Sacco June</t>
        </r>
      </text>
    </comment>
    <comment ref="E47" authorId="0" shapeId="0" xr:uid="{00000000-0006-0000-0000-00003A000000}">
      <text>
        <r>
          <rPr>
            <sz val="11"/>
            <color theme="1"/>
            <rFont val="Calibri"/>
            <scheme val="minor"/>
          </rPr>
          <t>======
ID#AAACDnfbJfE
    (2026-07-21 06:58:59)
Sacco June</t>
        </r>
      </text>
    </comment>
    <comment ref="E52" authorId="0" shapeId="0" xr:uid="{00000000-0006-0000-0000-000017000000}">
      <text>
        <r>
          <rPr>
            <sz val="11"/>
            <color theme="1"/>
            <rFont val="Calibri"/>
            <scheme val="minor"/>
          </rPr>
          <t>======
ID#AAACDnfbJZg
    (2026-07-21 06:58:59)
Sacco June</t>
        </r>
      </text>
    </comment>
    <comment ref="E54" authorId="0" shapeId="0" xr:uid="{00000000-0006-0000-0000-000029000000}">
      <text>
        <r>
          <rPr>
            <sz val="11"/>
            <color theme="1"/>
            <rFont val="Calibri"/>
            <scheme val="minor"/>
          </rPr>
          <t>======
ID#AAACDnfbJYc
    (2026-07-21 06:58:59)
Sacco June</t>
        </r>
      </text>
    </comment>
    <comment ref="E60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ID#AAACDnfbJdw
    (2026-07-21 06:58:59)
Sacco June</t>
        </r>
      </text>
    </comment>
    <comment ref="E63" authorId="0" shapeId="0" xr:uid="{00000000-0006-0000-0000-000034000000}">
      <text>
        <r>
          <rPr>
            <sz val="11"/>
            <color theme="1"/>
            <rFont val="Calibri"/>
            <scheme val="minor"/>
          </rPr>
          <t>======
ID#AAACDnfbPh8
    (2026-07-21 06:58:59)
Sacco June</t>
        </r>
      </text>
    </comment>
    <comment ref="E65" authorId="0" shapeId="0" xr:uid="{00000000-0006-0000-0000-00004B000000}">
      <text>
        <r>
          <rPr>
            <sz val="11"/>
            <color theme="1"/>
            <rFont val="Calibri"/>
            <scheme val="minor"/>
          </rPr>
          <t>======
ID#AAACDnfbJfA
    (2026-07-21 06:58:59)
Sacco June</t>
        </r>
      </text>
    </comment>
    <comment ref="E66" authorId="0" shapeId="0" xr:uid="{00000000-0006-0000-0000-000059000000}">
      <text>
        <r>
          <rPr>
            <sz val="11"/>
            <color theme="1"/>
            <rFont val="Calibri"/>
            <scheme val="minor"/>
          </rPr>
          <t>======
ID#AAACDnfbJfQ
    (2026-07-21 06:58:59)
Sacco June</t>
        </r>
      </text>
    </comment>
    <comment ref="E70" authorId="0" shapeId="0" xr:uid="{00000000-0006-0000-0000-000024000000}">
      <text>
        <r>
          <rPr>
            <sz val="11"/>
            <color theme="1"/>
            <rFont val="Calibri"/>
            <scheme val="minor"/>
          </rPr>
          <t>======
ID#AAACDnfbJbc
    (2026-07-21 06:58:59)
Sacco June</t>
        </r>
      </text>
    </comment>
    <comment ref="E72" authorId="0" shapeId="0" xr:uid="{00000000-0006-0000-0000-00003D000000}">
      <text>
        <r>
          <rPr>
            <sz val="11"/>
            <color theme="1"/>
            <rFont val="Calibri"/>
            <scheme val="minor"/>
          </rPr>
          <t>======
ID#AAACDnfbJgs
    (2026-07-21 06:58:59)
Sacco June</t>
        </r>
      </text>
    </comment>
    <comment ref="E74" authorId="0" shapeId="0" xr:uid="{00000000-0006-0000-0000-000054000000}">
      <text>
        <r>
          <rPr>
            <sz val="11"/>
            <color theme="1"/>
            <rFont val="Calibri"/>
            <scheme val="minor"/>
          </rPr>
          <t>======
ID#AAACDnfbJdk
    (2026-07-21 06:58:59)
Sacco June</t>
        </r>
      </text>
    </comment>
    <comment ref="E75" authorId="0" shapeId="0" xr:uid="{00000000-0006-0000-0000-000063000000}">
      <text>
        <r>
          <rPr>
            <sz val="11"/>
            <color theme="1"/>
            <rFont val="Calibri"/>
            <scheme val="minor"/>
          </rPr>
          <t>======
ID#AAACDnfbJcA
    (2026-07-21 06:58:59)
Sacco June</t>
        </r>
      </text>
    </comment>
    <comment ref="E76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ID#AAACDnfbJYY
    (2026-07-21 06:58:59)
Sacco June</t>
        </r>
      </text>
    </comment>
    <comment ref="E77" authorId="0" shapeId="0" xr:uid="{00000000-0006-0000-0000-00001C000000}">
      <text>
        <r>
          <rPr>
            <sz val="11"/>
            <color theme="1"/>
            <rFont val="Calibri"/>
            <scheme val="minor"/>
          </rPr>
          <t>======
ID#AAACDnfbJbs
    (2026-07-21 06:58:59)
Sacco June</t>
        </r>
      </text>
    </comment>
    <comment ref="E82" authorId="0" shapeId="0" xr:uid="{00000000-0006-0000-0000-000050000000}">
      <text>
        <r>
          <rPr>
            <sz val="11"/>
            <color theme="1"/>
            <rFont val="Calibri"/>
            <scheme val="minor"/>
          </rPr>
          <t>======
ID#AAACDnfbPiQ
    (2026-07-21 06:58:59)
Sacco June</t>
        </r>
      </text>
    </comment>
    <comment ref="E83" authorId="0" shapeId="0" xr:uid="{00000000-0006-0000-0000-000060000000}">
      <text>
        <r>
          <rPr>
            <sz val="11"/>
            <color theme="1"/>
            <rFont val="Calibri"/>
            <scheme val="minor"/>
          </rPr>
          <t>======
ID#AAACDnfbJZU
    (2026-07-21 06:58:59)
Sacco June</t>
        </r>
      </text>
    </comment>
    <comment ref="E84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ID#AAACDnfbPi4
    (2026-07-21 06:58:59)
Sacco June</t>
        </r>
      </text>
    </comment>
    <comment ref="E85" authorId="0" shapeId="0" xr:uid="{00000000-0006-0000-0000-000016000000}">
      <text>
        <r>
          <rPr>
            <sz val="11"/>
            <color theme="1"/>
            <rFont val="Calibri"/>
            <scheme val="minor"/>
          </rPr>
          <t>======
ID#AAACDnfbJdA
    (2026-07-21 06:58:59)
Sacco June</t>
        </r>
      </text>
    </comment>
    <comment ref="E86" authorId="0" shapeId="0" xr:uid="{00000000-0006-0000-0000-000021000000}">
      <text>
        <r>
          <rPr>
            <sz val="11"/>
            <color theme="1"/>
            <rFont val="Calibri"/>
            <scheme val="minor"/>
          </rPr>
          <t>======
ID#AAACDnfbJZM
    (2026-07-21 06:58:59)
Sacco June</t>
        </r>
      </text>
    </comment>
    <comment ref="E88" authorId="0" shapeId="0" xr:uid="{00000000-0006-0000-0000-000037000000}">
      <text>
        <r>
          <rPr>
            <sz val="11"/>
            <color theme="1"/>
            <rFont val="Calibri"/>
            <scheme val="minor"/>
          </rPr>
          <t>======
ID#AAACDnfbPik
    (2026-07-21 06:58:59)
Sacco June</t>
        </r>
      </text>
    </comment>
    <comment ref="E95" authorId="0" shapeId="0" xr:uid="{00000000-0006-0000-0000-000025000000}">
      <text>
        <r>
          <rPr>
            <sz val="11"/>
            <color theme="1"/>
            <rFont val="Calibri"/>
            <scheme val="minor"/>
          </rPr>
          <t>======
ID#AAACDnfbJgo
    (2026-07-21 06:58:59)
Sacco June</t>
        </r>
      </text>
    </comment>
    <comment ref="E98" authorId="0" shapeId="0" xr:uid="{00000000-0006-0000-0000-00004A000000}">
      <text>
        <r>
          <rPr>
            <sz val="11"/>
            <color theme="1"/>
            <rFont val="Calibri"/>
            <scheme val="minor"/>
          </rPr>
          <t>======
ID#AAACDnfbJYw
    (2026-07-21 06:58:59)
Sacco June</t>
        </r>
      </text>
    </comment>
    <comment ref="E100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ID#AAACDnfbJfg
    (2026-07-21 06:58:59)
Sacco June</t>
        </r>
      </text>
    </comment>
    <comment ref="E104" authorId="0" shapeId="0" xr:uid="{00000000-0006-0000-0000-000030000000}">
      <text>
        <r>
          <rPr>
            <sz val="11"/>
            <color theme="1"/>
            <rFont val="Calibri"/>
            <scheme val="minor"/>
          </rPr>
          <t>======
ID#AAACDnfbJeQ
    (2026-07-21 06:58:59)
Sacco June</t>
        </r>
      </text>
    </comment>
    <comment ref="E107" authorId="0" shapeId="0" xr:uid="{00000000-0006-0000-0000-000053000000}">
      <text>
        <r>
          <rPr>
            <sz val="11"/>
            <color theme="1"/>
            <rFont val="Calibri"/>
            <scheme val="minor"/>
          </rPr>
          <t>======
ID#AAACDnfbJh4
    (2026-07-21 06:58:59)
Sacco June</t>
        </r>
      </text>
    </comment>
    <comment ref="E109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ID#AAACDnfbJak
    (2026-07-21 06:58:59)
Sacco June</t>
        </r>
      </text>
    </comment>
    <comment ref="E110" authorId="0" shapeId="0" xr:uid="{00000000-0006-0000-0000-00001B000000}">
      <text>
        <r>
          <rPr>
            <sz val="11"/>
            <color theme="1"/>
            <rFont val="Calibri"/>
            <scheme val="minor"/>
          </rPr>
          <t>======
ID#AAACDnfbJaE
    (2026-07-21 06:58:59)
Sacco June</t>
        </r>
      </text>
    </comment>
    <comment ref="E112" authorId="0" shapeId="0" xr:uid="{00000000-0006-0000-0000-00002C000000}">
      <text>
        <r>
          <rPr>
            <sz val="11"/>
            <color theme="1"/>
            <rFont val="Calibri"/>
            <scheme val="minor"/>
          </rPr>
          <t>======
ID#AAACDnfbJhE
    (2026-07-21 06:58:59)
Sacco June</t>
        </r>
      </text>
    </comment>
    <comment ref="E114" authorId="0" shapeId="0" xr:uid="{00000000-0006-0000-0000-000046000000}">
      <text>
        <r>
          <rPr>
            <sz val="11"/>
            <color theme="1"/>
            <rFont val="Calibri"/>
            <scheme val="minor"/>
          </rPr>
          <t>======
ID#AAACDnfbJb0
    (2026-07-21 06:58:59)
Sacco June</t>
        </r>
      </text>
    </comment>
    <comment ref="E120" authorId="0" shapeId="0" xr:uid="{00000000-0006-0000-0000-000028000000}">
      <text>
        <r>
          <rPr>
            <sz val="11"/>
            <color theme="1"/>
            <rFont val="Calibri"/>
            <scheme val="minor"/>
          </rPr>
          <t>======
ID#AAAB6mBO2yk
    (2026-05-18 10:58:44)
Sacco May on hold</t>
        </r>
      </text>
    </comment>
    <comment ref="E122" authorId="0" shapeId="0" xr:uid="{00000000-0006-0000-0000-000045000000}">
      <text>
        <r>
          <rPr>
            <sz val="11"/>
            <color theme="1"/>
            <rFont val="Calibri"/>
            <scheme val="minor"/>
          </rPr>
          <t>======
ID#AAACDnfbJZI
    (2026-07-21 06:58:59)
Sacco June</t>
        </r>
      </text>
    </comment>
    <comment ref="E130" authorId="0" shapeId="0" xr:uid="{00000000-0006-0000-0000-000041000000}">
      <text>
        <r>
          <rPr>
            <sz val="11"/>
            <color theme="1"/>
            <rFont val="Calibri"/>
            <scheme val="minor"/>
          </rPr>
          <t>======
ID#AAACDnfbPig
    (2026-07-21 06:58:59)
Sacco June</t>
        </r>
      </text>
    </comment>
    <comment ref="E132" authorId="0" shapeId="0" xr:uid="{00000000-0006-0000-0000-000058000000}">
      <text>
        <r>
          <rPr>
            <sz val="11"/>
            <color theme="1"/>
            <rFont val="Calibri"/>
            <scheme val="minor"/>
          </rPr>
          <t>======
ID#AAACDnfbJaI
Personal    (2026-07-21 06:58:59)
Sacco July</t>
        </r>
      </text>
    </comment>
    <comment ref="E134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ID#AAACDnfbPiY
    (2026-07-21 06:58:59)
Sacco June</t>
        </r>
      </text>
    </comment>
    <comment ref="E137" authorId="0" shapeId="0" xr:uid="{00000000-0006-0000-0000-00002F000000}">
      <text>
        <r>
          <rPr>
            <sz val="11"/>
            <color theme="1"/>
            <rFont val="Calibri"/>
            <scheme val="minor"/>
          </rPr>
          <t>======
ID#AAACDnfbJdM
    (2026-07-21 06:58:59)
Sacco June</t>
        </r>
      </text>
    </comment>
    <comment ref="E138" authorId="0" shapeId="0" xr:uid="{00000000-0006-0000-0000-00003C000000}">
      <text>
        <r>
          <rPr>
            <sz val="11"/>
            <color theme="1"/>
            <rFont val="Calibri"/>
            <scheme val="minor"/>
          </rPr>
          <t>======
ID#AAACDnfbJas
    (2026-07-21 06:58:59)
Sacco June</t>
        </r>
      </text>
    </comment>
    <comment ref="E139" authorId="0" shapeId="0" xr:uid="{00000000-0006-0000-0000-000048000000}">
      <text>
        <r>
          <rPr>
            <sz val="11"/>
            <color theme="1"/>
            <rFont val="Calibri"/>
            <scheme val="minor"/>
          </rPr>
          <t>======
ID#AAACDnfbJb8
    (2026-07-21 06:58:59)
Sacco June</t>
        </r>
      </text>
    </comment>
    <comment ref="E143" authorId="0" shapeId="0" xr:uid="{00000000-0006-0000-0000-00001A000000}">
      <text>
        <r>
          <rPr>
            <sz val="11"/>
            <color theme="1"/>
            <rFont val="Calibri"/>
            <scheme val="minor"/>
          </rPr>
          <t>======
ID#AAACDnfbPiU
    (2026-07-21 06:58:59)
Sacco June</t>
        </r>
      </text>
    </comment>
    <comment ref="E145" authorId="0" shapeId="0" xr:uid="{00000000-0006-0000-0000-00002B000000}">
      <text>
        <r>
          <rPr>
            <sz val="11"/>
            <color theme="1"/>
            <rFont val="Calibri"/>
            <scheme val="minor"/>
          </rPr>
          <t>======
ID#AAACDnfbJec
    (2026-07-21 06:58:59)
Sacco June</t>
        </r>
      </text>
    </comment>
    <comment ref="E150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ID#AAACDnfbJfY
    (2026-07-21 06:58:59)
Sacco June</t>
        </r>
      </text>
    </comment>
    <comment ref="E153" authorId="0" shapeId="0" xr:uid="{00000000-0006-0000-0000-000027000000}">
      <text>
        <r>
          <rPr>
            <sz val="11"/>
            <color theme="1"/>
            <rFont val="Calibri"/>
            <scheme val="minor"/>
          </rPr>
          <t>======
ID#AAACDnfbJeM
    (2026-07-21 06:58:59)
Sacco June</t>
        </r>
      </text>
    </comment>
    <comment ref="E154" authorId="0" shapeId="0" xr:uid="{00000000-0006-0000-0000-000036000000}">
      <text>
        <r>
          <rPr>
            <sz val="11"/>
            <color theme="1"/>
            <rFont val="Calibri"/>
            <scheme val="minor"/>
          </rPr>
          <t>======
ID#AAACDnfbJZE
    (2026-07-21 06:58:59)
Sacco June</t>
        </r>
      </text>
    </comment>
    <comment ref="E156" authorId="0" shapeId="0" xr:uid="{00000000-0006-0000-0000-00004E000000}">
      <text>
        <r>
          <rPr>
            <sz val="11"/>
            <color theme="1"/>
            <rFont val="Calibri"/>
            <scheme val="minor"/>
          </rPr>
          <t>======
ID#AAACDnfbJdI
    (2026-07-21 06:58:59)
Sacco June</t>
        </r>
      </text>
    </comment>
    <comment ref="E160" authorId="0" shapeId="0" xr:uid="{00000000-0006-0000-0000-00001E000000}">
      <text>
        <r>
          <rPr>
            <sz val="11"/>
            <color theme="1"/>
            <rFont val="Calibri"/>
            <scheme val="minor"/>
          </rPr>
          <t>======
ID#AAACDnfbJYg
    (2026-07-21 06:58:59)
Sacco June</t>
        </r>
      </text>
    </comment>
    <comment ref="E162" authorId="0" shapeId="0" xr:uid="{00000000-0006-0000-0000-000033000000}">
      <text>
        <r>
          <rPr>
            <sz val="11"/>
            <color theme="1"/>
            <rFont val="Calibri"/>
            <scheme val="minor"/>
          </rPr>
          <t>======
ID#AAACDnfbJeI
    (2026-07-21 06:58:59)
Sacco June</t>
        </r>
      </text>
    </comment>
    <comment ref="E163" authorId="0" shapeId="0" xr:uid="{00000000-0006-0000-0000-000040000000}">
      <text>
        <r>
          <rPr>
            <sz val="11"/>
            <color theme="1"/>
            <rFont val="Calibri"/>
            <scheme val="minor"/>
          </rPr>
          <t>======
ID#AAACDnfbPis
Personal    (2026-07-21 06:58:59)
Sacco July</t>
        </r>
      </text>
    </comment>
    <comment ref="E165" authorId="0" shapeId="0" xr:uid="{00000000-0006-0000-0000-000057000000}">
      <text>
        <r>
          <rPr>
            <sz val="11"/>
            <color theme="1"/>
            <rFont val="Calibri"/>
            <scheme val="minor"/>
          </rPr>
          <t>======
ID#AAACDnfbJa0
    (2026-07-21 06:58:59)
Sacco June</t>
        </r>
      </text>
    </comment>
    <comment ref="E179" authorId="0" shapeId="0" xr:uid="{00000000-0006-0000-0000-000039000000}">
      <text>
        <r>
          <rPr>
            <sz val="11"/>
            <color theme="1"/>
            <rFont val="Calibri"/>
            <scheme val="minor"/>
          </rPr>
          <t>======
ID#AAACDnfbJew
    (2026-07-21 06:58:59)
Sacco June</t>
        </r>
      </text>
    </comment>
    <comment ref="E184" authorId="0" shapeId="0" xr:uid="{00000000-0006-0000-0000-000015000000}">
      <text>
        <r>
          <rPr>
            <sz val="11"/>
            <color theme="1"/>
            <rFont val="Calibri"/>
            <scheme val="minor"/>
          </rPr>
          <t>======
ID#AAACDnfbJbg
    (2026-07-21 06:58:59)
Sacco June</t>
        </r>
      </text>
    </comment>
    <comment ref="E186" authorId="0" shapeId="0" xr:uid="{00000000-0006-0000-0000-000026000000}">
      <text>
        <r>
          <rPr>
            <sz val="11"/>
            <color theme="1"/>
            <rFont val="Calibri"/>
            <scheme val="minor"/>
          </rPr>
          <t>======
ID#AAACDnfbJcM
    (2026-07-21 06:58:59)
Sacco June</t>
        </r>
      </text>
    </comment>
    <comment ref="E198" authorId="0" shapeId="0" xr:uid="{00000000-0006-0000-0000-000056000000}">
      <text>
        <r>
          <rPr>
            <sz val="11"/>
            <color theme="1"/>
            <rFont val="Calibri"/>
            <scheme val="minor"/>
          </rPr>
          <t>======
ID#AAACDnfbJhs
    (2026-07-21 06:58:59)
Sacco June</t>
        </r>
      </text>
    </comment>
    <comment ref="E207" authorId="0" shapeId="0" xr:uid="{00000000-0006-0000-0000-000062000000}">
      <text>
        <r>
          <rPr>
            <sz val="11"/>
            <color theme="1"/>
            <rFont val="Calibri"/>
            <scheme val="minor"/>
          </rPr>
          <t>======
ID#AAACDnfbPjM
    (2026-07-21 06:58:59)
Sacco June</t>
        </r>
      </text>
    </comment>
    <comment ref="E208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ID#AAACDnfbJds
    (2026-07-21 06:58:59)
Sacco June</t>
        </r>
      </text>
    </comment>
    <comment ref="E209" authorId="0" shapeId="0" xr:uid="{00000000-0006-0000-0000-000019000000}">
      <text>
        <r>
          <rPr>
            <sz val="11"/>
            <color theme="1"/>
            <rFont val="Calibri"/>
            <scheme val="minor"/>
          </rPr>
          <t>======
ID#AAACDnfbPi0
    (2026-07-21 06:58:59)
Sacco June</t>
        </r>
      </text>
    </comment>
    <comment ref="E216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ID#AAACDnfbJgA
    (2026-07-21 06:58:59)
Sacco June</t>
        </r>
      </text>
    </comment>
    <comment ref="E217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ID#AAACDnfbJbI
Personal    (2026-07-21 06:58:59)
Sacco July</t>
        </r>
      </text>
    </comment>
    <comment ref="E221" authorId="0" shapeId="0" xr:uid="{00000000-0006-0000-0000-000044000000}">
      <text>
        <r>
          <rPr>
            <sz val="11"/>
            <color theme="1"/>
            <rFont val="Calibri"/>
            <scheme val="minor"/>
          </rPr>
          <t>======
ID#AAACDnfbJbw
    (2026-07-21 06:58:59)
Sacco June</t>
        </r>
      </text>
    </comment>
    <comment ref="E223" authorId="0" shapeId="0" xr:uid="{00000000-0006-0000-0000-00005B000000}">
      <text>
        <r>
          <rPr>
            <sz val="11"/>
            <color theme="1"/>
            <rFont val="Calibri"/>
            <scheme val="minor"/>
          </rPr>
          <t>======
ID#AAACDnfbJbA
    (2026-07-21 06:58:59)
Sacco June</t>
        </r>
      </text>
    </comment>
    <comment ref="E225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ID#AAACDnfbJZ0
    (2026-07-21 06:58:59)
Sacco June</t>
        </r>
      </text>
    </comment>
    <comment ref="E226" authorId="0" shapeId="0" xr:uid="{00000000-0006-0000-0000-00001D000000}">
      <text>
        <r>
          <rPr>
            <sz val="11"/>
            <color theme="1"/>
            <rFont val="Calibri"/>
            <scheme val="minor"/>
          </rPr>
          <t>======
ID#AAACDnfbJc4
    (2026-07-21 06:58:59)
Sacco June</t>
        </r>
      </text>
    </comment>
    <comment ref="E231" authorId="0" shapeId="0" xr:uid="{00000000-0006-0000-0000-000055000000}">
      <text>
        <r>
          <rPr>
            <sz val="11"/>
            <color theme="1"/>
            <rFont val="Calibri"/>
            <scheme val="minor"/>
          </rPr>
          <t>======
ID#AAACDnfbJh0
    (2026-07-21 06:58:59)
Sacco June</t>
        </r>
      </text>
    </comment>
    <comment ref="E239" authorId="0" shapeId="0" xr:uid="{00000000-0006-0000-0000-000052000000}">
      <text>
        <r>
          <rPr>
            <sz val="11"/>
            <color theme="1"/>
            <rFont val="Calibri"/>
            <scheme val="minor"/>
          </rPr>
          <t>======
ID#AAACDnfbJfk
    (2026-07-21 06:58:59)
Sacco June</t>
        </r>
      </text>
    </comment>
    <comment ref="E242" authorId="0" shapeId="0" xr:uid="{00000000-0006-0000-0000-000018000000}">
      <text>
        <r>
          <rPr>
            <sz val="11"/>
            <color theme="1"/>
            <rFont val="Calibri"/>
            <scheme val="minor"/>
          </rPr>
          <t>======
ID#AAACDnfbJgc
    (2026-07-21 06:58:59)
Sacco June</t>
        </r>
      </text>
    </comment>
    <comment ref="E244" authorId="0" shapeId="0" xr:uid="{00000000-0006-0000-0000-00002A000000}">
      <text>
        <r>
          <rPr>
            <sz val="11"/>
            <color theme="1"/>
            <rFont val="Calibri"/>
            <scheme val="minor"/>
          </rPr>
          <t>======
ID#AAACDnfbJaU
    (2026-07-21 06:58:59)
Sacco June</t>
        </r>
      </text>
    </comment>
    <comment ref="E245" authorId="0" shapeId="0" xr:uid="{00000000-0006-0000-0000-000038000000}">
      <text>
        <r>
          <rPr>
            <sz val="11"/>
            <color theme="1"/>
            <rFont val="Calibri"/>
            <scheme val="minor"/>
          </rPr>
          <t>======
ID#AAACDnfbJY0
    (2026-07-21 06:58:59)
Sacco June</t>
        </r>
      </text>
    </comment>
    <comment ref="E248" authorId="0" shapeId="0" xr:uid="{00000000-0006-0000-0000-00005E000000}">
      <text>
        <r>
          <rPr>
            <sz val="11"/>
            <color theme="1"/>
            <rFont val="Calibri"/>
            <scheme val="minor"/>
          </rPr>
          <t>======
ID#AAACDnfbJdc
    (2026-07-21 06:58:59)
Sacco June</t>
        </r>
      </text>
    </comment>
    <comment ref="E253" authorId="0" shapeId="0" xr:uid="{00000000-0006-0000-0000-000035000000}">
      <text>
        <r>
          <rPr>
            <sz val="11"/>
            <color theme="1"/>
            <rFont val="Calibri"/>
            <scheme val="minor"/>
          </rPr>
          <t>======
ID#AAACDnfbJek
    (2026-07-21 06:58:59)
Sacco June</t>
        </r>
      </text>
    </comment>
    <comment ref="E255" authorId="0" shapeId="0" xr:uid="{00000000-0006-0000-0000-00004D000000}">
      <text>
        <r>
          <rPr>
            <sz val="11"/>
            <color theme="1"/>
            <rFont val="Calibri"/>
            <scheme val="minor"/>
          </rPr>
          <t>======
ID#AAACDnfbJgE
    (2026-07-21 06:58:59)
Sacco June</t>
        </r>
      </text>
    </comment>
    <comment ref="E258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ID#AAACDnfbPjE
    (2026-07-21 06:58:59)
Sacco June</t>
        </r>
      </text>
    </comment>
    <comment ref="E261" authorId="0" shapeId="0" xr:uid="{00000000-0006-0000-0000-000032000000}">
      <text>
        <r>
          <rPr>
            <sz val="11"/>
            <color theme="1"/>
            <rFont val="Calibri"/>
            <scheme val="minor"/>
          </rPr>
          <t>======
ID#AAACDnfbJgM
    (2026-07-21 06:58:59)
Sacco June</t>
        </r>
      </text>
    </comment>
    <comment ref="E266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ID#AAACDnfbJgQ
    (2026-07-21 06:58:59)
Sacco June</t>
        </r>
      </text>
    </comment>
    <comment ref="E268" authorId="0" shapeId="0" xr:uid="{00000000-0006-0000-0000-000022000000}">
      <text>
        <r>
          <rPr>
            <sz val="11"/>
            <color theme="1"/>
            <rFont val="Calibri"/>
            <scheme val="minor"/>
          </rPr>
          <t>======
ID#AAACDnfbJf0
    (2026-07-21 06:58:59)
Sacco June</t>
        </r>
      </text>
    </comment>
    <comment ref="E269" authorId="0" shapeId="0" xr:uid="{00000000-0006-0000-0000-00002E000000}">
      <text>
        <r>
          <rPr>
            <sz val="11"/>
            <color theme="1"/>
            <rFont val="Calibri"/>
            <scheme val="minor"/>
          </rPr>
          <t>======
ID#AAACDnfbJcw
    (2026-07-21 06:58:59)
Sacco June</t>
        </r>
      </text>
    </comment>
    <comment ref="E272" authorId="0" shapeId="0" xr:uid="{00000000-0006-0000-0000-000051000000}">
      <text>
        <r>
          <rPr>
            <sz val="11"/>
            <color theme="1"/>
            <rFont val="Calibri"/>
            <scheme val="minor"/>
          </rPr>
          <t>======
ID#AAACDnfbJcg
    (2026-07-21 06:58:59)
Sacco June</t>
        </r>
      </text>
    </comment>
    <comment ref="E287" authorId="0" shapeId="0" xr:uid="{00000000-0006-0000-0000-000042000000}">
      <text>
        <r>
          <rPr>
            <sz val="11"/>
            <color theme="1"/>
            <rFont val="Calibri"/>
            <scheme val="minor"/>
          </rPr>
          <t>======
ID#AAACDnfbPiI
    (2026-07-21 06:58:59)
Sacco June</t>
        </r>
      </text>
    </comment>
    <comment ref="E289" authorId="0" shapeId="0" xr:uid="{00000000-0006-0000-0000-00005A000000}">
      <text>
        <r>
          <rPr>
            <sz val="11"/>
            <color theme="1"/>
            <rFont val="Calibri"/>
            <scheme val="minor"/>
          </rPr>
          <t>======
ID#AAACDnfbJdQ
    (2026-07-21 06:58:59)
Sacco June</t>
        </r>
      </text>
    </comment>
    <comment ref="E295" authorId="0" shapeId="0" xr:uid="{00000000-0006-0000-0000-00003F000000}">
      <text>
        <r>
          <rPr>
            <sz val="11"/>
            <color theme="1"/>
            <rFont val="Calibri"/>
            <scheme val="minor"/>
          </rPr>
          <t>======
ID#AAACDnfbJdY
    (2026-07-21 06:58:59)
Sacco June</t>
        </r>
      </text>
    </comment>
    <comment ref="E296" authorId="0" shapeId="0" xr:uid="{00000000-0006-0000-0000-000049000000}">
      <text>
        <r>
          <rPr>
            <sz val="11"/>
            <color theme="1"/>
            <rFont val="Calibri"/>
            <scheme val="minor"/>
          </rPr>
          <t>======
ID#AAACDnfbJZY
    (2026-07-21 06:58:59)
Sacco June</t>
        </r>
      </text>
    </comment>
    <comment ref="E303" authorId="0" shapeId="0" xr:uid="{00000000-0006-0000-0000-00003B000000}">
      <text>
        <r>
          <rPr>
            <sz val="11"/>
            <color theme="1"/>
            <rFont val="Calibri"/>
            <scheme val="minor"/>
          </rPr>
          <t>======
ID#AAACDnfbJZc
    (2026-07-21 06:58:59)
Sacco June</t>
        </r>
      </text>
    </comment>
    <comment ref="E307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ID#AAACDnfbJeU
    (2026-07-21 06:58:59)
Sacco June</t>
        </r>
      </text>
    </comment>
    <comment ref="E313" authorId="0" shapeId="0" xr:uid="{00000000-0006-0000-0000-00004F000000}">
      <text>
        <r>
          <rPr>
            <sz val="11"/>
            <color theme="1"/>
            <rFont val="Calibri"/>
            <scheme val="minor"/>
          </rPr>
          <t>======
ID#AAACDnfbJe4
    (2026-07-21 06:58:59)
Sacco June</t>
        </r>
      </text>
    </comment>
    <comment ref="E316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ID#AAACDnfbJhg
    (2026-07-21 06:58:59)
Sacco June</t>
        </r>
      </text>
    </comment>
    <comment ref="E321" authorId="0" shapeId="0" xr:uid="{00000000-0006-0000-0000-00004C000000}">
      <text>
        <r>
          <rPr>
            <sz val="11"/>
            <color theme="1"/>
            <rFont val="Calibri"/>
            <scheme val="minor"/>
          </rPr>
          <t>======
ID#AAACDnfbJe8
    (2026-07-21 06:58:59)
Sacco June</t>
        </r>
      </text>
    </comment>
    <comment ref="E327" authorId="0" shapeId="0" xr:uid="{00000000-0006-0000-0000-000031000000}">
      <text>
        <r>
          <rPr>
            <sz val="11"/>
            <color theme="1"/>
            <rFont val="Calibri"/>
            <scheme val="minor"/>
          </rPr>
          <t>======
ID#AAACDnfbJY8
    (2026-07-21 06:58:59)
Sacco June</t>
        </r>
      </text>
    </comment>
    <comment ref="E339" authorId="0" shapeId="0" xr:uid="{00000000-0006-0000-0000-00005F000000}">
      <text>
        <r>
          <rPr>
            <sz val="11"/>
            <color theme="1"/>
            <rFont val="Calibri"/>
            <scheme val="minor"/>
          </rPr>
          <t>======
ID#AAACDnfbJhk
    (2026-07-21 06:58:59)
Sacco June</t>
        </r>
      </text>
    </comment>
    <comment ref="E342" authorId="0" shapeId="0" xr:uid="{00000000-0006-0000-0000-000020000000}">
      <text>
        <r>
          <rPr>
            <sz val="11"/>
            <color theme="1"/>
            <rFont val="Calibri"/>
            <scheme val="minor"/>
          </rPr>
          <t>======
ID#AAACDnfbJaM
    (2026-07-21 06:58:59)
Sacco June</t>
        </r>
      </text>
    </comment>
    <comment ref="E347" authorId="0" shapeId="0" xr:uid="{00000000-0006-0000-0000-00005C000000}">
      <text>
        <r>
          <rPr>
            <sz val="11"/>
            <color theme="1"/>
            <rFont val="Calibri"/>
            <scheme val="minor"/>
          </rPr>
          <t>======
ID#AAACDnfbJZA
Personal    (2026-07-21 06:58:59)
Sacco July</t>
        </r>
      </text>
    </comment>
    <comment ref="E348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ID#AAACDnfbJZQ
Personal    (2026-07-21 06:58:59)
Sacco July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Xi9NGsESFqejeoYUj6plF2kXGh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9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ID#AAACDnfbPjI
    (2026-07-21 06:58:59)
Sacco July</t>
        </r>
      </text>
    </comment>
    <comment ref="J12" authorId="0" shapeId="0" xr:uid="{00000000-0006-0000-0100-000038000000}">
      <text>
        <r>
          <rPr>
            <sz val="11"/>
            <color theme="1"/>
            <rFont val="Calibri"/>
            <scheme val="minor"/>
          </rPr>
          <t>======
ID#AAACDnfbJfo
    (2026-07-21 06:58:59)
Sacco June</t>
        </r>
      </text>
    </comment>
    <comment ref="J15" authorId="0" shapeId="0" xr:uid="{00000000-0006-0000-0100-000024000000}">
      <text>
        <r>
          <rPr>
            <sz val="11"/>
            <color theme="1"/>
            <rFont val="Calibri"/>
            <scheme val="minor"/>
          </rPr>
          <t>======
ID#AAACDnfbJYo
    (2026-07-21 06:58:59)
Sacco June</t>
        </r>
      </text>
    </comment>
    <comment ref="J17" authorId="0" shapeId="0" xr:uid="{00000000-0006-0000-0100-000049000000}">
      <text>
        <r>
          <rPr>
            <sz val="11"/>
            <color theme="1"/>
            <rFont val="Calibri"/>
            <scheme val="minor"/>
          </rPr>
          <t>======
ID#AAACDnfbJhQ
    (2026-07-21 06:58:59)
Sacco June</t>
        </r>
      </text>
    </comment>
    <comment ref="J20" authorId="0" shapeId="0" xr:uid="{00000000-0006-0000-0100-000033000000}">
      <text>
        <r>
          <rPr>
            <sz val="11"/>
            <color theme="1"/>
            <rFont val="Calibri"/>
            <scheme val="minor"/>
          </rPr>
          <t>======
ID#AAACDnfbJgg
    (2026-07-21 06:58:59)
Sacco June</t>
        </r>
      </text>
    </comment>
    <comment ref="J22" authorId="0" shapeId="0" xr:uid="{00000000-0006-0000-0100-00000D000000}">
      <text>
        <r>
          <rPr>
            <sz val="11"/>
            <color theme="1"/>
            <rFont val="Calibri"/>
            <scheme val="minor"/>
          </rPr>
          <t>======
ID#AAACDnfbJbo
    (2026-07-21 06:58:59)
Sacco June</t>
        </r>
      </text>
    </comment>
    <comment ref="J24" authorId="0" shapeId="0" xr:uid="{00000000-0006-0000-0100-000031000000}">
      <text>
        <r>
          <rPr>
            <sz val="11"/>
            <color theme="1"/>
            <rFont val="Calibri"/>
            <scheme val="minor"/>
          </rPr>
          <t>======
ID#AAACDnfbJY4
    (2026-07-21 06:58:59)
Sacco June</t>
        </r>
      </text>
    </comment>
    <comment ref="J47" authorId="0" shapeId="0" xr:uid="{00000000-0006-0000-0100-00000F000000}">
      <text>
        <r>
          <rPr>
            <sz val="11"/>
            <color theme="1"/>
            <rFont val="Calibri"/>
            <scheme val="minor"/>
          </rPr>
          <t>======
ID#AAACDnfbJbE
hp    (2026-07-21 06:58:59)
Sacco June</t>
        </r>
      </text>
    </comment>
    <comment ref="J49" authorId="0" shapeId="0" xr:uid="{00000000-0006-0000-0100-000035000000}">
      <text>
        <r>
          <rPr>
            <sz val="11"/>
            <color theme="1"/>
            <rFont val="Calibri"/>
            <scheme val="minor"/>
          </rPr>
          <t>======
ID#AAACDnfbJc8
    (2026-07-21 06:58:59)
Sacco June</t>
        </r>
      </text>
    </comment>
    <comment ref="J54" authorId="0" shapeId="0" xr:uid="{00000000-0006-0000-0100-000045000000}">
      <text>
        <r>
          <rPr>
            <sz val="11"/>
            <color theme="1"/>
            <rFont val="Calibri"/>
            <scheme val="minor"/>
          </rPr>
          <t>======
ID#AAACDnfbJcI
    (2026-07-21 06:58:59)
Sacco June</t>
        </r>
      </text>
    </comment>
    <comment ref="J55" authorId="0" shapeId="0" xr:uid="{00000000-0006-0000-0100-00000B000000}">
      <text>
        <r>
          <rPr>
            <sz val="11"/>
            <color theme="1"/>
            <rFont val="Calibri"/>
            <scheme val="minor"/>
          </rPr>
          <t>======
ID#AAACDnfbJfs
    (2026-07-21 06:58:59)
Sacco June</t>
        </r>
      </text>
    </comment>
    <comment ref="J64" authorId="0" shapeId="0" xr:uid="{00000000-0006-0000-0100-00001C000000}">
      <text>
        <r>
          <rPr>
            <sz val="11"/>
            <color theme="1"/>
            <rFont val="Calibri"/>
            <scheme val="minor"/>
          </rPr>
          <t>======
ID#AAACDnfbJcs
    (2026-07-21 06:58:59)
Sacco June</t>
        </r>
      </text>
    </comment>
    <comment ref="J66" authorId="0" shapeId="0" xr:uid="{00000000-0006-0000-0100-00003F000000}">
      <text>
        <r>
          <rPr>
            <sz val="11"/>
            <color theme="1"/>
            <rFont val="Calibri"/>
            <scheme val="minor"/>
          </rPr>
          <t>======
ID#AAACDnfbJYk
    (2026-07-21 06:58:59)
Sacco June</t>
        </r>
      </text>
    </comment>
    <comment ref="J67" authorId="0" shapeId="0" xr:uid="{00000000-0006-0000-0100-000004000000}">
      <text>
        <r>
          <rPr>
            <sz val="11"/>
            <color theme="1"/>
            <rFont val="Calibri"/>
            <scheme val="minor"/>
          </rPr>
          <t>======
ID#AAACDnfbJf8
    (2026-07-21 06:58:59)
Sacco June</t>
        </r>
      </text>
    </comment>
    <comment ref="J72" authorId="0" shapeId="0" xr:uid="{00000000-0006-0000-0100-000016000000}">
      <text>
        <r>
          <rPr>
            <sz val="11"/>
            <color theme="1"/>
            <rFont val="Calibri"/>
            <scheme val="minor"/>
          </rPr>
          <t>======
ID#AAACDnfbJeo
    (2026-07-21 06:58:59)
Sacco June</t>
        </r>
      </text>
    </comment>
    <comment ref="J77" authorId="0" shapeId="0" xr:uid="{00000000-0006-0000-0100-000025000000}">
      <text>
        <r>
          <rPr>
            <sz val="11"/>
            <color theme="1"/>
            <rFont val="Calibri"/>
            <scheme val="minor"/>
          </rPr>
          <t>======
ID#AAACDnfbPiw
    (2026-07-21 06:58:59)
Sacco June</t>
        </r>
      </text>
    </comment>
    <comment ref="J86" authorId="0" shapeId="0" xr:uid="{00000000-0006-0000-0100-000032000000}">
      <text>
        <r>
          <rPr>
            <sz val="11"/>
            <color theme="1"/>
            <rFont val="Calibri"/>
            <scheme val="minor"/>
          </rPr>
          <t>======
ID#AAACDnfbJZk
    (2026-07-21 06:58:59)
Sacco June</t>
        </r>
      </text>
    </comment>
    <comment ref="J92" authorId="0" shapeId="0" xr:uid="{00000000-0006-0000-0100-000007000000}">
      <text>
        <r>
          <rPr>
            <sz val="11"/>
            <color theme="1"/>
            <rFont val="Calibri"/>
            <scheme val="minor"/>
          </rPr>
          <t>======
ID#AAACDnfbJao
    (2026-07-21 06:58:59)
Sacco June</t>
        </r>
      </text>
    </comment>
    <comment ref="J97" authorId="0" shapeId="0" xr:uid="{00000000-0006-0000-0100-00001B000000}">
      <text>
        <r>
          <rPr>
            <sz val="11"/>
            <color theme="1"/>
            <rFont val="Calibri"/>
            <scheme val="minor"/>
          </rPr>
          <t>======
ID#AAACDnfbJaA
    (2026-07-21 06:58:59)
Sacco June</t>
        </r>
      </text>
    </comment>
    <comment ref="J98" authorId="0" shapeId="0" xr:uid="{00000000-0006-0000-0100-00002C000000}">
      <text>
        <r>
          <rPr>
            <sz val="11"/>
            <color theme="1"/>
            <rFont val="Calibri"/>
            <scheme val="minor"/>
          </rPr>
          <t>======
ID#AAACDnfbJa8
    (2026-07-21 06:58:59)
Sacco June</t>
        </r>
      </text>
    </comment>
    <comment ref="J108" authorId="0" shapeId="0" xr:uid="{00000000-0006-0000-0100-00004D000000}">
      <text>
        <r>
          <rPr>
            <sz val="11"/>
            <color theme="1"/>
            <rFont val="Calibri"/>
            <scheme val="minor"/>
          </rPr>
          <t>======
ID#AAACDnfbJYQ
    (2026-07-21 06:58:59)
Sacco June</t>
        </r>
      </text>
    </comment>
    <comment ref="J112" authorId="0" shapeId="0" xr:uid="{00000000-0006-0000-0100-00004A000000}">
      <text>
        <r>
          <rPr>
            <sz val="11"/>
            <color theme="1"/>
            <rFont val="Calibri"/>
            <scheme val="minor"/>
          </rPr>
          <t>======
ID#AAACDnfbJgY
    (2026-07-21 06:58:59)
Sacco June</t>
        </r>
      </text>
    </comment>
    <comment ref="J114" authorId="0" shapeId="0" xr:uid="{00000000-0006-0000-0100-000022000000}">
      <text>
        <r>
          <rPr>
            <sz val="11"/>
            <color theme="1"/>
            <rFont val="Calibri"/>
            <scheme val="minor"/>
          </rPr>
          <t>======
ID#AAACDnfbJfI
    (2026-07-21 06:58:59)
Sacco June</t>
        </r>
      </text>
    </comment>
    <comment ref="J116" authorId="0" shapeId="0" xr:uid="{00000000-0006-0000-0100-000047000000}">
      <text>
        <r>
          <rPr>
            <sz val="11"/>
            <color theme="1"/>
            <rFont val="Calibri"/>
            <scheme val="minor"/>
          </rPr>
          <t>======
ID#AAACDnfbJcQ
    (2026-07-21 06:58:59)
Sacco June</t>
        </r>
      </text>
    </comment>
    <comment ref="J118" authorId="0" shapeId="0" xr:uid="{00000000-0006-0000-0100-000021000000}">
      <text>
        <r>
          <rPr>
            <sz val="11"/>
            <color theme="1"/>
            <rFont val="Calibri"/>
            <scheme val="minor"/>
          </rPr>
          <t>======
ID#AAACDnfbJbQ
    (2026-07-21 06:58:59)
Sacco June</t>
        </r>
      </text>
    </comment>
    <comment ref="J120" authorId="0" shapeId="0" xr:uid="{00000000-0006-0000-0100-000044000000}">
      <text>
        <r>
          <rPr>
            <sz val="11"/>
            <color theme="1"/>
            <rFont val="Calibri"/>
            <scheme val="minor"/>
          </rPr>
          <t>======
ID#AAACDnfbJcY
    (2026-07-21 06:58:59)
Sacco June</t>
        </r>
      </text>
    </comment>
    <comment ref="J125" authorId="0" shapeId="0" xr:uid="{00000000-0006-0000-0100-000006000000}">
      <text>
        <r>
          <rPr>
            <sz val="11"/>
            <color theme="1"/>
            <rFont val="Calibri"/>
            <scheme val="minor"/>
          </rPr>
          <t>======
ID#AAACDnfbJhY
    (2026-07-21 06:58:59)
Sacco June</t>
        </r>
      </text>
    </comment>
    <comment ref="J128" authorId="0" shapeId="0" xr:uid="{00000000-0006-0000-0100-000040000000}">
      <text>
        <r>
          <rPr>
            <sz val="11"/>
            <color theme="1"/>
            <rFont val="Calibri"/>
            <scheme val="minor"/>
          </rPr>
          <t>======
ID#AAACDnfbJZ4
    (2026-07-21 06:58:59)
Sacco June</t>
        </r>
      </text>
    </comment>
    <comment ref="J138" authorId="0" shapeId="0" xr:uid="{00000000-0006-0000-0100-000014000000}">
      <text>
        <r>
          <rPr>
            <sz val="11"/>
            <color theme="1"/>
            <rFont val="Calibri"/>
            <scheme val="minor"/>
          </rPr>
          <t>======
ID#AAACDnfbJg4
    (2026-07-21 06:58:59)
Sacco June</t>
        </r>
      </text>
    </comment>
    <comment ref="J141" authorId="0" shapeId="0" xr:uid="{00000000-0006-0000-0100-00004C000000}">
      <text>
        <r>
          <rPr>
            <sz val="11"/>
            <color theme="1"/>
            <rFont val="Calibri"/>
            <scheme val="minor"/>
          </rPr>
          <t>======
ID#AAACDnfbJbY
    (2026-07-21 06:58:59)
Sacco June</t>
        </r>
      </text>
    </comment>
    <comment ref="J142" authorId="0" shapeId="0" xr:uid="{00000000-0006-0000-0100-000010000000}">
      <text>
        <r>
          <rPr>
            <sz val="11"/>
            <color theme="1"/>
            <rFont val="Calibri"/>
            <scheme val="minor"/>
          </rPr>
          <t>======
ID#AAACDnfbJhI
    (2026-07-21 06:58:59)
Sacco June</t>
        </r>
      </text>
    </comment>
    <comment ref="J144" authorId="0" shapeId="0" xr:uid="{00000000-0006-0000-0100-000036000000}">
      <text>
        <r>
          <rPr>
            <sz val="11"/>
            <color theme="1"/>
            <rFont val="Calibri"/>
            <scheme val="minor"/>
          </rPr>
          <t>======
ID#AAACDnfbJfU
    (2026-07-21 06:58:59)
Sacco June</t>
        </r>
      </text>
    </comment>
    <comment ref="J151" authorId="0" shapeId="0" xr:uid="{00000000-0006-0000-0100-00001F000000}">
      <text>
        <r>
          <rPr>
            <sz val="11"/>
            <color theme="1"/>
            <rFont val="Calibri"/>
            <scheme val="minor"/>
          </rPr>
          <t>======
ID#AAACDnfbJgI
    (2026-07-21 06:58:59)
Sacco June</t>
        </r>
      </text>
    </comment>
    <comment ref="J153" authorId="0" shapeId="0" xr:uid="{00000000-0006-0000-0100-000043000000}">
      <text>
        <r>
          <rPr>
            <sz val="11"/>
            <color theme="1"/>
            <rFont val="Calibri"/>
            <scheme val="minor"/>
          </rPr>
          <t>======
ID#AAACDnfbJdE
    (2026-07-21 06:58:59)
Sacco June</t>
        </r>
      </text>
    </comment>
    <comment ref="J154" authorId="0" shapeId="0" xr:uid="{00000000-0006-0000-0100-000009000000}">
      <text>
        <r>
          <rPr>
            <sz val="11"/>
            <color theme="1"/>
            <rFont val="Calibri"/>
            <scheme val="minor"/>
          </rPr>
          <t>======
ID#AAACDnfbJZo
    (2026-07-21 06:58:59)
Sacco June</t>
        </r>
      </text>
    </comment>
    <comment ref="J166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ID#AAACDnfbJhc
    (2026-07-21 06:58:59)
Sacco June</t>
        </r>
      </text>
    </comment>
    <comment ref="J167" authorId="0" shapeId="0" xr:uid="{00000000-0006-0000-0100-000018000000}">
      <text>
        <r>
          <rPr>
            <sz val="11"/>
            <color theme="1"/>
            <rFont val="Calibri"/>
            <scheme val="minor"/>
          </rPr>
          <t>======
ID#AAACDnfbJZw
    (2026-07-21 06:58:59)
Sacco June</t>
        </r>
      </text>
    </comment>
    <comment ref="J171" authorId="0" shapeId="0" xr:uid="{00000000-0006-0000-0100-000012000000}">
      <text>
        <r>
          <rPr>
            <sz val="11"/>
            <color theme="1"/>
            <rFont val="Calibri"/>
            <scheme val="minor"/>
          </rPr>
          <t>======
ID#AAACDnfbJeY
    (2026-07-21 06:58:59)
Sacco June</t>
        </r>
      </text>
    </comment>
    <comment ref="J172" authorId="0" shapeId="0" xr:uid="{00000000-0006-0000-0100-000027000000}">
      <text>
        <r>
          <rPr>
            <sz val="11"/>
            <color theme="1"/>
            <rFont val="Calibri"/>
            <scheme val="minor"/>
          </rPr>
          <t>======
ID#AAACDnfbJag
    (2026-07-21 06:58:59)
Sacco June</t>
        </r>
      </text>
    </comment>
    <comment ref="J187" authorId="0" shapeId="0" xr:uid="{00000000-0006-0000-0100-000008000000}">
      <text>
        <r>
          <rPr>
            <sz val="11"/>
            <color theme="1"/>
            <rFont val="Calibri"/>
            <scheme val="minor"/>
          </rPr>
          <t>======
ID#AAACDnfbJeE
    (2026-07-21 06:58:59)
Sacco June</t>
        </r>
      </text>
    </comment>
    <comment ref="J188" authorId="0" shapeId="0" xr:uid="{00000000-0006-0000-0100-00001D000000}">
      <text>
        <r>
          <rPr>
            <sz val="11"/>
            <color theme="1"/>
            <rFont val="Calibri"/>
            <scheme val="minor"/>
          </rPr>
          <t>======
ID#AAACDnfbJho
    (2026-07-21 06:58:59)
Sacco June</t>
        </r>
      </text>
    </comment>
    <comment ref="J197" authorId="0" shapeId="0" xr:uid="{00000000-0006-0000-0100-00002A000000}">
      <text>
        <r>
          <rPr>
            <sz val="11"/>
            <color theme="1"/>
            <rFont val="Calibri"/>
            <scheme val="minor"/>
          </rPr>
          <t>======
ID#AAACDnfbJhA
    (2026-07-21 06:58:59)
Sacco June</t>
        </r>
      </text>
    </comment>
    <comment ref="J200" authorId="0" shapeId="0" xr:uid="{00000000-0006-0000-0100-000017000000}">
      <text>
        <r>
          <rPr>
            <sz val="11"/>
            <color theme="1"/>
            <rFont val="Calibri"/>
            <scheme val="minor"/>
          </rPr>
          <t>======
ID#AAACDnfbJcc
    (2026-07-21 06:58:59)
Sacco June</t>
        </r>
      </text>
    </comment>
    <comment ref="J203" authorId="0" shapeId="0" xr:uid="{00000000-0006-0000-0100-00004E000000}">
      <text>
        <r>
          <rPr>
            <sz val="11"/>
            <color theme="1"/>
            <rFont val="Calibri"/>
            <scheme val="minor"/>
          </rPr>
          <t>======
ID#AAACDnfbJg8
hp    (2026-07-21 06:58:59)
Sacco June</t>
        </r>
      </text>
    </comment>
    <comment ref="J218" authorId="0" shapeId="0" xr:uid="{00000000-0006-0000-0100-000030000000}">
      <text>
        <r>
          <rPr>
            <sz val="11"/>
            <color theme="1"/>
            <rFont val="Calibri"/>
            <scheme val="minor"/>
          </rPr>
          <t>======
ID#AAACDnfbJc0
    (2026-07-21 06:58:59)
Sacco June</t>
        </r>
      </text>
    </comment>
    <comment ref="J227" authorId="0" shapeId="0" xr:uid="{00000000-0006-0000-0100-00003E000000}">
      <text>
        <r>
          <rPr>
            <sz val="11"/>
            <color theme="1"/>
            <rFont val="Calibri"/>
            <scheme val="minor"/>
          </rPr>
          <t>======
ID#AAACDnfbJa4
    (2026-07-21 06:58:59)
Sacco June</t>
        </r>
      </text>
    </comment>
    <comment ref="J235" authorId="0" shapeId="0" xr:uid="{00000000-0006-0000-0100-000039000000}">
      <text>
        <r>
          <rPr>
            <sz val="11"/>
            <color theme="1"/>
            <rFont val="Calibri"/>
            <scheme val="minor"/>
          </rPr>
          <t>======
ID#AAACDnfbJfc
    (2026-07-21 06:58:59)
Sacco June</t>
        </r>
      </text>
    </comment>
    <comment ref="J240" authorId="0" shapeId="0" xr:uid="{00000000-0006-0000-0100-00004B000000}">
      <text>
        <r>
          <rPr>
            <sz val="11"/>
            <color theme="1"/>
            <rFont val="Calibri"/>
            <scheme val="minor"/>
          </rPr>
          <t>======
ID#AAACDnfbJdg
    (2026-07-21 06:58:59)
Sacco June</t>
        </r>
      </text>
    </comment>
    <comment ref="J259" authorId="0" shapeId="0" xr:uid="{00000000-0006-0000-0100-00002B000000}">
      <text>
        <r>
          <rPr>
            <sz val="11"/>
            <color theme="1"/>
            <rFont val="Calibri"/>
            <scheme val="minor"/>
          </rPr>
          <t>======
ID#AAACDnfbPio
    (2026-07-21 06:58:59)
Sacco June</t>
        </r>
      </text>
    </comment>
    <comment ref="J262" authorId="0" shapeId="0" xr:uid="{00000000-0006-0000-0100-00001A000000}">
      <text>
        <r>
          <rPr>
            <sz val="11"/>
            <color theme="1"/>
            <rFont val="Calibri"/>
            <scheme val="minor"/>
          </rPr>
          <t>======
ID#AAACDnfbJZs
    (2026-07-21 06:58:59)
Sacco June</t>
        </r>
      </text>
    </comment>
    <comment ref="J267" authorId="0" shapeId="0" xr:uid="{00000000-0006-0000-0100-000028000000}">
      <text>
        <r>
          <rPr>
            <sz val="11"/>
            <color theme="1"/>
            <rFont val="Calibri"/>
            <scheme val="minor"/>
          </rPr>
          <t>======
ID#AAACDnfbJaQ
    (2026-07-21 06:58:59)
Sacco June</t>
        </r>
      </text>
    </comment>
    <comment ref="J272" authorId="0" shapeId="0" xr:uid="{00000000-0006-0000-0100-000037000000}">
      <text>
        <r>
          <rPr>
            <sz val="11"/>
            <color theme="1"/>
            <rFont val="Calibri"/>
            <scheme val="minor"/>
          </rPr>
          <t>======
ID#AAACDnfbJgU
    (2026-07-21 06:58:59)
Sacco June</t>
        </r>
      </text>
    </comment>
    <comment ref="J282" authorId="0" shapeId="0" xr:uid="{00000000-0006-0000-0100-00000A000000}">
      <text>
        <r>
          <rPr>
            <sz val="11"/>
            <color theme="1"/>
            <rFont val="Calibri"/>
            <scheme val="minor"/>
          </rPr>
          <t>======
ID#AAACDnfbJYU
hp    (2026-07-21 06:58:59)
Sacco June</t>
        </r>
      </text>
    </comment>
    <comment ref="J285" authorId="0" shapeId="0" xr:uid="{00000000-0006-0000-0100-000042000000}">
      <text>
        <r>
          <rPr>
            <sz val="11"/>
            <color theme="1"/>
            <rFont val="Calibri"/>
            <scheme val="minor"/>
          </rPr>
          <t>======
ID#AAACDnfbJg0
    (2026-07-21 06:58:59)
Sacco June</t>
        </r>
      </text>
    </comment>
    <comment ref="J293" authorId="0" shapeId="0" xr:uid="{00000000-0006-0000-0100-00003C000000}">
      <text>
        <r>
          <rPr>
            <sz val="11"/>
            <color theme="1"/>
            <rFont val="Calibri"/>
            <scheme val="minor"/>
          </rPr>
          <t>======
ID#AAACDnfbJZ8
    (2026-07-21 06:58:59)
Sacco June</t>
        </r>
      </text>
    </comment>
    <comment ref="J296" authorId="0" shapeId="0" xr:uid="{00000000-0006-0000-0100-000029000000}">
      <text>
        <r>
          <rPr>
            <sz val="11"/>
            <color theme="1"/>
            <rFont val="Calibri"/>
            <scheme val="minor"/>
          </rPr>
          <t>======
ID#AAACDnfbJYs
    (2026-07-21 06:58:59)
Sacco June</t>
        </r>
      </text>
    </comment>
    <comment ref="J306" authorId="0" shapeId="0" xr:uid="{00000000-0006-0000-0100-000048000000}">
      <text>
        <r>
          <rPr>
            <sz val="11"/>
            <color theme="1"/>
            <rFont val="Calibri"/>
            <scheme val="minor"/>
          </rPr>
          <t>======
ID#AAACDnfbJYM
    (2026-07-21 06:58:59)
Sacco June</t>
        </r>
      </text>
    </comment>
    <comment ref="J311" authorId="0" shapeId="0" xr:uid="{00000000-0006-0000-0100-00000C000000}">
      <text>
        <r>
          <rPr>
            <sz val="11"/>
            <color theme="1"/>
            <rFont val="Calibri"/>
            <scheme val="minor"/>
          </rPr>
          <t>======
ID#AAACDnfbJdU
Personal    (2026-07-21 06:58:59)
Sacco July</t>
        </r>
      </text>
    </comment>
    <comment ref="J316" authorId="0" shapeId="0" xr:uid="{00000000-0006-0000-0100-00001E000000}">
      <text>
        <r>
          <rPr>
            <sz val="11"/>
            <color theme="1"/>
            <rFont val="Calibri"/>
            <scheme val="minor"/>
          </rPr>
          <t>======
ID#AAACDnfbJb4
    (2026-07-21 06:58:59)
Sacco June</t>
        </r>
      </text>
    </comment>
    <comment ref="J317" authorId="0" shapeId="0" xr:uid="{00000000-0006-0000-0100-00002E000000}">
      <text>
        <r>
          <rPr>
            <sz val="11"/>
            <color theme="1"/>
            <rFont val="Calibri"/>
            <scheme val="minor"/>
          </rPr>
          <t>======
ID#AAACDnfbJhM
    (2026-07-21 06:58:59)
Sacco June</t>
        </r>
      </text>
    </comment>
    <comment ref="J318" authorId="0" shapeId="0" xr:uid="{00000000-0006-0000-0100-000041000000}">
      <text>
        <r>
          <rPr>
            <sz val="11"/>
            <color theme="1"/>
            <rFont val="Calibri"/>
            <scheme val="minor"/>
          </rPr>
          <t>======
ID#AAACDnfbJaY
    (2026-07-21 06:58:59)
Sacco June</t>
        </r>
      </text>
    </comment>
    <comment ref="J319" authorId="0" shapeId="0" xr:uid="{00000000-0006-0000-0100-000005000000}">
      <text>
        <r>
          <rPr>
            <sz val="11"/>
            <color theme="1"/>
            <rFont val="Calibri"/>
            <scheme val="minor"/>
          </rPr>
          <t>======
ID#AAACDnfbJd4
Personal    (2026-07-21 06:58:59)
Sacco July</t>
        </r>
      </text>
    </comment>
    <comment ref="J328" authorId="0" shapeId="0" xr:uid="{00000000-0006-0000-0100-000015000000}">
      <text>
        <r>
          <rPr>
            <sz val="11"/>
            <color theme="1"/>
            <rFont val="Calibri"/>
            <scheme val="minor"/>
          </rPr>
          <t>======
ID#AAACDnfbPic
    (2026-07-21 06:58:59)
Sacco June</t>
        </r>
      </text>
    </comment>
    <comment ref="J330" authorId="0" shapeId="0" xr:uid="{00000000-0006-0000-0100-00003B000000}">
      <text>
        <r>
          <rPr>
            <sz val="11"/>
            <color theme="1"/>
            <rFont val="Calibri"/>
            <scheme val="minor"/>
          </rPr>
          <t>======
ID#AAACDnfbJbM
    (2026-07-21 06:58:59)
Sacco June</t>
        </r>
      </text>
    </comment>
    <comment ref="J332" authorId="0" shapeId="0" xr:uid="{00000000-0006-0000-0100-000011000000}">
      <text>
        <r>
          <rPr>
            <sz val="11"/>
            <color theme="1"/>
            <rFont val="Calibri"/>
            <scheme val="minor"/>
          </rPr>
          <t>======
ID#AAACDnfbJd0
    (2026-07-21 06:58:59)
Sacco June</t>
        </r>
      </text>
    </comment>
    <comment ref="J338" authorId="0" shapeId="0" xr:uid="{00000000-0006-0000-0100-000034000000}">
      <text>
        <r>
          <rPr>
            <sz val="11"/>
            <color theme="1"/>
            <rFont val="Calibri"/>
            <scheme val="minor"/>
          </rPr>
          <t>======
ID#AAACDnfbJeA
    (2026-07-21 06:58:59)
Sacco June</t>
        </r>
      </text>
    </comment>
    <comment ref="J363" authorId="0" shapeId="0" xr:uid="{00000000-0006-0000-0100-00003A000000}">
      <text>
        <r>
          <rPr>
            <sz val="11"/>
            <color theme="1"/>
            <rFont val="Calibri"/>
            <scheme val="minor"/>
          </rPr>
          <t>======
ID#AAACDnfbJbk
    (2026-07-21 06:58:59)
Sacco June</t>
        </r>
      </text>
    </comment>
    <comment ref="J379" authorId="0" shapeId="0" xr:uid="{00000000-0006-0000-0100-00002F000000}">
      <text>
        <r>
          <rPr>
            <sz val="11"/>
            <color theme="1"/>
            <rFont val="Calibri"/>
            <scheme val="minor"/>
          </rPr>
          <t>======
ID#AAACDnfbJgw
    (2026-07-21 06:58:59)
Sacco June</t>
        </r>
      </text>
    </comment>
    <comment ref="J388" authorId="0" shapeId="0" xr:uid="{00000000-0006-0000-0100-00003D000000}">
      <text>
        <r>
          <rPr>
            <sz val="11"/>
            <color theme="1"/>
            <rFont val="Calibri"/>
            <scheme val="minor"/>
          </rPr>
          <t>======
ID#AAACDnfbJeg
    (2026-07-21 06:58:59)
Sacco June</t>
        </r>
      </text>
    </comment>
    <comment ref="J389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ID#AAAB6mBO2zY
NBS    (2026-05-18 10:58:44)
Sacco May</t>
        </r>
      </text>
    </comment>
    <comment ref="J390" authorId="0" shapeId="0" xr:uid="{00000000-0006-0000-0100-000019000000}">
      <text>
        <r>
          <rPr>
            <sz val="11"/>
            <color theme="1"/>
            <rFont val="Calibri"/>
            <scheme val="minor"/>
          </rPr>
          <t>======
ID#AAACDnfbPiA
    (2026-07-21 06:58:59)
Sacco June</t>
        </r>
      </text>
    </comment>
    <comment ref="J405" authorId="0" shapeId="0" xr:uid="{00000000-0006-0000-0100-000046000000}">
      <text>
        <r>
          <rPr>
            <sz val="11"/>
            <color theme="1"/>
            <rFont val="Calibri"/>
            <scheme val="minor"/>
          </rPr>
          <t>======
ID#AAACDnfbJbU
    (2026-07-21 06:58:59)
Sacco June</t>
        </r>
      </text>
    </comment>
    <comment ref="J407" authorId="0" shapeId="0" xr:uid="{00000000-0006-0000-0100-000020000000}">
      <text>
        <r>
          <rPr>
            <sz val="11"/>
            <color theme="1"/>
            <rFont val="Calibri"/>
            <scheme val="minor"/>
          </rPr>
          <t>======
ID#AAACDnfbJcU
    (2026-07-21 06:58:59)
Sacco June</t>
        </r>
      </text>
    </comment>
    <comment ref="J416" authorId="0" shapeId="0" xr:uid="{00000000-0006-0000-0100-00002D000000}">
      <text>
        <r>
          <rPr>
            <sz val="11"/>
            <color theme="1"/>
            <rFont val="Calibri"/>
            <scheme val="minor"/>
          </rPr>
          <t>======
ID#AAACDnfbJck
    (2026-07-21 06:58:59)
Sacco June</t>
        </r>
      </text>
    </comment>
    <comment ref="J427" authorId="0" shapeId="0" xr:uid="{00000000-0006-0000-0100-000013000000}">
      <text>
        <r>
          <rPr>
            <sz val="11"/>
            <color theme="1"/>
            <rFont val="Calibri"/>
            <scheme val="minor"/>
          </rPr>
          <t>======
ID#AAACDnfbJd8
    (2026-07-21 06:58:59)
Sacco June</t>
        </r>
      </text>
    </comment>
    <comment ref="J432" authorId="0" shapeId="0" xr:uid="{00000000-0006-0000-0100-000023000000}">
      <text>
        <r>
          <rPr>
            <sz val="11"/>
            <color theme="1"/>
            <rFont val="Calibri"/>
            <scheme val="minor"/>
          </rPr>
          <t>======
ID#AAACDnfbPjA
    (2026-07-21 06:58:59)
Sacco June</t>
        </r>
      </text>
    </comment>
    <comment ref="J461" authorId="0" shapeId="0" xr:uid="{00000000-0006-0000-0100-000026000000}">
      <text>
        <r>
          <rPr>
            <sz val="11"/>
            <color theme="1"/>
            <rFont val="Calibri"/>
            <scheme val="minor"/>
          </rPr>
          <t>======
ID#AAACDnfbJdo
    (2026-07-21 06:58:59)
Sacco June</t>
        </r>
      </text>
    </comment>
    <comment ref="J464" authorId="0" shapeId="0" xr:uid="{00000000-0006-0000-0100-00000E000000}">
      <text>
        <r>
          <rPr>
            <sz val="11"/>
            <color theme="1"/>
            <rFont val="Calibri"/>
            <scheme val="minor"/>
          </rPr>
          <t>======
ID#AAACDnfbJe0
    (2026-07-21 06:58:59)
Sacco June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XOYR9OxrwZZeRumgQkXoCUX36tw=="/>
    </ext>
  </extLst>
</comments>
</file>

<file path=xl/sharedStrings.xml><?xml version="1.0" encoding="utf-8"?>
<sst xmlns="http://schemas.openxmlformats.org/spreadsheetml/2006/main" count="3740" uniqueCount="1614">
  <si>
    <t>NBS</t>
  </si>
  <si>
    <t>NEXT MEDIA</t>
  </si>
  <si>
    <t>S/No.</t>
  </si>
  <si>
    <t>Name</t>
  </si>
  <si>
    <t>ST/REF. No.</t>
  </si>
  <si>
    <t>Saving Account No.</t>
  </si>
  <si>
    <t>Amount</t>
  </si>
  <si>
    <t>PLOT 13 SUMMIT VIEW ROAD</t>
  </si>
  <si>
    <t>Kaudha Mwasit</t>
  </si>
  <si>
    <t xml:space="preserve">                                                                                                                         </t>
  </si>
  <si>
    <t>050147</t>
  </si>
  <si>
    <t>1013011661297</t>
  </si>
  <si>
    <t>P.O BOX 7613</t>
  </si>
  <si>
    <t>PLOT 13, SUMMIT VIEW ROAD</t>
  </si>
  <si>
    <t>Salmah Namwanje</t>
  </si>
  <si>
    <t>1013011937394</t>
  </si>
  <si>
    <t xml:space="preserve"> PAYROLL FOR THE MONTH ENDED 27 JULY, 2026</t>
  </si>
  <si>
    <t>Semwogerere Derick</t>
  </si>
  <si>
    <t>Richard Olwenyi</t>
  </si>
  <si>
    <t>.</t>
  </si>
  <si>
    <t>1151152915113</t>
  </si>
  <si>
    <t>01073044211710</t>
  </si>
  <si>
    <t xml:space="preserve">Semwogerere Derick </t>
  </si>
  <si>
    <t>Ibanda Samuel</t>
  </si>
  <si>
    <t xml:space="preserve"> EXPENSE ALLOWANCES FOR THE MONTH ENDED 15 JULY, 2026</t>
  </si>
  <si>
    <t>01493014713209</t>
  </si>
  <si>
    <t>Isaac Mubuka</t>
  </si>
  <si>
    <t>01063089038015</t>
  </si>
  <si>
    <t>Joseph Mawanda</t>
  </si>
  <si>
    <t>01063089095825</t>
  </si>
  <si>
    <t>Irene Constance Namajja</t>
  </si>
  <si>
    <t>ID No</t>
  </si>
  <si>
    <t>01063089069431</t>
  </si>
  <si>
    <t>Position</t>
  </si>
  <si>
    <t>Salary</t>
  </si>
  <si>
    <t xml:space="preserve">Gross Pay </t>
  </si>
  <si>
    <t>PAYE</t>
  </si>
  <si>
    <t>NSSF 10%</t>
  </si>
  <si>
    <t>Isima Isiko</t>
  </si>
  <si>
    <t>NSSF 5%</t>
  </si>
  <si>
    <t>Total Deduction</t>
  </si>
  <si>
    <t>SACCO</t>
  </si>
  <si>
    <t>01063089037812</t>
  </si>
  <si>
    <t>Food</t>
  </si>
  <si>
    <t>Medicare</t>
  </si>
  <si>
    <t>Hire purchase</t>
  </si>
  <si>
    <t>Cost share</t>
  </si>
  <si>
    <t>ID Replacement</t>
  </si>
  <si>
    <t>Penalty</t>
  </si>
  <si>
    <t>Katumba Moses</t>
  </si>
  <si>
    <t>Net Pay</t>
  </si>
  <si>
    <t>01513089227682</t>
  </si>
  <si>
    <t>Alex Mugasha</t>
  </si>
  <si>
    <t>Expense Allowance</t>
  </si>
  <si>
    <t>01081157877128</t>
  </si>
  <si>
    <t>Brian Tukasingura</t>
  </si>
  <si>
    <t>Fuel/Advance</t>
  </si>
  <si>
    <t>Net Expense Allowance</t>
  </si>
  <si>
    <t>903/20</t>
  </si>
  <si>
    <t>Aaron Magulu</t>
  </si>
  <si>
    <t>Grip and Stage</t>
  </si>
  <si>
    <t>01421000215916</t>
  </si>
  <si>
    <t>Stores</t>
  </si>
  <si>
    <t>Isaac otwii</t>
  </si>
  <si>
    <t>01051154833026</t>
  </si>
  <si>
    <t>Ayamo Ruth Eyobu</t>
  </si>
  <si>
    <t>01081099698765</t>
  </si>
  <si>
    <t>Timothy Maganda</t>
  </si>
  <si>
    <t>01221151480319</t>
  </si>
  <si>
    <t>Badru Kasirye</t>
  </si>
  <si>
    <t>Kyomu Henry</t>
  </si>
  <si>
    <t>01063089284508</t>
  </si>
  <si>
    <t>1063013376621</t>
  </si>
  <si>
    <t>743/20</t>
  </si>
  <si>
    <t>Abdallah Magumba</t>
  </si>
  <si>
    <t>Transmission</t>
  </si>
  <si>
    <t>Abdallah Gulemye</t>
  </si>
  <si>
    <t>Pheiona Nakatte</t>
  </si>
  <si>
    <t>01490010829509</t>
  </si>
  <si>
    <t>Content Officer</t>
  </si>
  <si>
    <t>Henry Mugenyi</t>
  </si>
  <si>
    <t>01070010802519</t>
  </si>
  <si>
    <t>Sarah Nabwami</t>
  </si>
  <si>
    <t>Kitimbo Thomas</t>
  </si>
  <si>
    <t>01071159815335</t>
  </si>
  <si>
    <t>714/20</t>
  </si>
  <si>
    <t>Abdallar Gulemye</t>
  </si>
  <si>
    <t>01440011974888</t>
  </si>
  <si>
    <t>Current Affairs Director</t>
  </si>
  <si>
    <t>Kenneth Kaweesa</t>
  </si>
  <si>
    <t>01060012126804</t>
  </si>
  <si>
    <t>Kiwanuka John Paul</t>
  </si>
  <si>
    <t>01070012330676</t>
  </si>
  <si>
    <t>Patricia Agaba</t>
  </si>
  <si>
    <t>769/20</t>
  </si>
  <si>
    <t>01070011977414</t>
  </si>
  <si>
    <t>Abdul Majid Mugisa</t>
  </si>
  <si>
    <t>Magembe Farish</t>
  </si>
  <si>
    <t>01030012235582</t>
  </si>
  <si>
    <t>Joseph Omagor</t>
  </si>
  <si>
    <t>01981131213490</t>
  </si>
  <si>
    <t>Agrey Waguma</t>
  </si>
  <si>
    <t>051/20</t>
  </si>
  <si>
    <t>Abubaker Lubwama</t>
  </si>
  <si>
    <t>01070014050534</t>
  </si>
  <si>
    <t>Ass Stores</t>
  </si>
  <si>
    <t>Wasswa Hassan Mutebi</t>
  </si>
  <si>
    <t>01070010885253</t>
  </si>
  <si>
    <t>SM Resources</t>
  </si>
  <si>
    <t>Dennis Ibanda</t>
  </si>
  <si>
    <t>01070014676345</t>
  </si>
  <si>
    <t>683/20</t>
  </si>
  <si>
    <t>Adam Mayambala</t>
  </si>
  <si>
    <t>News Reporter</t>
  </si>
  <si>
    <t>Jamila Mulindwa Namuyiga</t>
  </si>
  <si>
    <t>01010014546860</t>
  </si>
  <si>
    <t>Paul Kayonga</t>
  </si>
  <si>
    <t>01451152440673</t>
  </si>
  <si>
    <t>768/20</t>
  </si>
  <si>
    <t xml:space="preserve">Simon Kaggwa Njala </t>
  </si>
  <si>
    <t>Adrian Bakuwamma</t>
  </si>
  <si>
    <t>01013010046204</t>
  </si>
  <si>
    <t>Musisi Eric Njagala</t>
  </si>
  <si>
    <t>1070011937104</t>
  </si>
  <si>
    <t>Adrian Bakuwama</t>
  </si>
  <si>
    <t>Shirly Mukunde</t>
  </si>
  <si>
    <t>1410014601484</t>
  </si>
  <si>
    <t>Joshua Mujunga</t>
  </si>
  <si>
    <t>086/20</t>
  </si>
  <si>
    <t>Aggrey Waguma</t>
  </si>
  <si>
    <t>01070014831027</t>
  </si>
  <si>
    <t>Camera Man</t>
  </si>
  <si>
    <t>Isaiah Ampumuza</t>
  </si>
  <si>
    <t>01070015281562</t>
  </si>
  <si>
    <t>Studio Cameraperson</t>
  </si>
  <si>
    <t>Alex Ssentongo</t>
  </si>
  <si>
    <t>360147</t>
  </si>
  <si>
    <t>227559200011</t>
  </si>
  <si>
    <t>467/20</t>
  </si>
  <si>
    <t>Ahmed Sultan Buyungo</t>
  </si>
  <si>
    <t>Video Editor</t>
  </si>
  <si>
    <t>Lailah Nalukwata</t>
  </si>
  <si>
    <t>0143099898523</t>
  </si>
  <si>
    <t>Video Editor/Producer</t>
  </si>
  <si>
    <t>924/20</t>
  </si>
  <si>
    <t>Aisha Komugisha</t>
  </si>
  <si>
    <t>Payable Accountant</t>
  </si>
  <si>
    <t>Ahabu Bwesigye</t>
  </si>
  <si>
    <t>01170015014825</t>
  </si>
  <si>
    <t>710/20</t>
  </si>
  <si>
    <t>Alan John Mwesigwa</t>
  </si>
  <si>
    <t>Bureau chief bunyoro</t>
  </si>
  <si>
    <t>Aaron Paul Odong</t>
  </si>
  <si>
    <t>Ssekanjako Patrick</t>
  </si>
  <si>
    <t>01070012379057</t>
  </si>
  <si>
    <t>01490015297457</t>
  </si>
  <si>
    <t>Sultan Buyungo Ahmed</t>
  </si>
  <si>
    <t>Bureau Chief-Mbarara</t>
  </si>
  <si>
    <t>01070012379118</t>
  </si>
  <si>
    <t>093/20</t>
  </si>
  <si>
    <t>Allan Mark Kiberu</t>
  </si>
  <si>
    <t>Mark Agaba</t>
  </si>
  <si>
    <t>01660011955368</t>
  </si>
  <si>
    <t>089/20</t>
  </si>
  <si>
    <t>Reporter</t>
  </si>
  <si>
    <t>Marvin Ndahura</t>
  </si>
  <si>
    <t>Malcom Ntambi</t>
  </si>
  <si>
    <t>01070014765605</t>
  </si>
  <si>
    <t>01070015415899</t>
  </si>
  <si>
    <t>678/20</t>
  </si>
  <si>
    <t>Katagwa George</t>
  </si>
  <si>
    <t>Allan John Mwesigwa</t>
  </si>
  <si>
    <t>Bureau chief- Bunyoro</t>
  </si>
  <si>
    <t>01070015520050</t>
  </si>
  <si>
    <t>Henry Kasozi</t>
  </si>
  <si>
    <t>01070010176085</t>
  </si>
  <si>
    <t>462/20</t>
  </si>
  <si>
    <t>Allan Ssempebwa</t>
  </si>
  <si>
    <t>Allan Sempebwa</t>
  </si>
  <si>
    <t>Cameraperson</t>
  </si>
  <si>
    <t>Afasha Bosco</t>
  </si>
  <si>
    <t>01190015807601</t>
  </si>
  <si>
    <t>Victor Tayebwa</t>
  </si>
  <si>
    <t>098/20</t>
  </si>
  <si>
    <t xml:space="preserve">Andrew Batwerinde </t>
  </si>
  <si>
    <t xml:space="preserve">Control Room </t>
  </si>
  <si>
    <t>01410010961193</t>
  </si>
  <si>
    <t>Andrew Kabuura</t>
  </si>
  <si>
    <t>Head of Broadcast-Sports</t>
  </si>
  <si>
    <t>Richard Kiyimba</t>
  </si>
  <si>
    <t>01070015481016</t>
  </si>
  <si>
    <t>542/20</t>
  </si>
  <si>
    <t>HOB-Sports</t>
  </si>
  <si>
    <t>227465200017</t>
  </si>
  <si>
    <t>Angela Kairere</t>
  </si>
  <si>
    <t>Producer</t>
  </si>
  <si>
    <t>Joseph Rwanguhayo</t>
  </si>
  <si>
    <t>140/20</t>
  </si>
  <si>
    <t>01070012356607</t>
  </si>
  <si>
    <t>Graham Tusiime</t>
  </si>
  <si>
    <t>Andrew Batwerinde Sserwadda</t>
  </si>
  <si>
    <t>1070015176424</t>
  </si>
  <si>
    <t>01070011936701</t>
  </si>
  <si>
    <t>SM Archives</t>
  </si>
  <si>
    <t>Kaddu Martin Mwogere</t>
  </si>
  <si>
    <t>01170016077331</t>
  </si>
  <si>
    <t>101/20</t>
  </si>
  <si>
    <t>Tumusiime David</t>
  </si>
  <si>
    <t>01081159107625</t>
  </si>
  <si>
    <t>Elly Makune</t>
  </si>
  <si>
    <t>01660015762290</t>
  </si>
  <si>
    <t>SM Life style Content</t>
  </si>
  <si>
    <t>01310016218499</t>
  </si>
  <si>
    <t>054/20</t>
  </si>
  <si>
    <t>Bekar Zenah</t>
  </si>
  <si>
    <t>News reporter</t>
  </si>
  <si>
    <t>06190015775047</t>
  </si>
  <si>
    <t>Ramson Muhairwe</t>
  </si>
  <si>
    <t>01360016344846</t>
  </si>
  <si>
    <t>Baker Zenah</t>
  </si>
  <si>
    <t>Head of Content Production</t>
  </si>
  <si>
    <t>491/20</t>
  </si>
  <si>
    <t>Ben Mwine</t>
  </si>
  <si>
    <t>HOC&amp;P</t>
  </si>
  <si>
    <t>Goretti Kyeswa</t>
  </si>
  <si>
    <t>Kakande George</t>
  </si>
  <si>
    <t>01490016484825</t>
  </si>
  <si>
    <t>01070015778451</t>
  </si>
  <si>
    <t>108/20</t>
  </si>
  <si>
    <t>Benson Ongom</t>
  </si>
  <si>
    <t>Bureau Chief</t>
  </si>
  <si>
    <t>Balinda Immam</t>
  </si>
  <si>
    <t>Joseph Makumbi</t>
  </si>
  <si>
    <t>01410015811097</t>
  </si>
  <si>
    <t>225/20</t>
  </si>
  <si>
    <t>Betty Kayenga</t>
  </si>
  <si>
    <t>Ibrahim Sserengana</t>
  </si>
  <si>
    <t>684/20</t>
  </si>
  <si>
    <t>Boman Bigirwenkya</t>
  </si>
  <si>
    <t>Mgt Accountant</t>
  </si>
  <si>
    <t>01490011466185</t>
  </si>
  <si>
    <t>Allan Ssempembwa</t>
  </si>
  <si>
    <t>227494200013</t>
  </si>
  <si>
    <t>785/20</t>
  </si>
  <si>
    <t>Bosco Afashe</t>
  </si>
  <si>
    <t>Driver</t>
  </si>
  <si>
    <t>Walugembe Josephat</t>
  </si>
  <si>
    <t>1070014924514</t>
  </si>
  <si>
    <t>901/20</t>
  </si>
  <si>
    <t>Ernest Akorebirungi</t>
  </si>
  <si>
    <t>Bridget Nsimenta</t>
  </si>
  <si>
    <t xml:space="preserve">Bureau Reporter </t>
  </si>
  <si>
    <t>01010016658615</t>
  </si>
  <si>
    <t>Namayanja Gloria</t>
  </si>
  <si>
    <t>01100016624368</t>
  </si>
  <si>
    <t>950/20</t>
  </si>
  <si>
    <t>Calvin Mugume</t>
  </si>
  <si>
    <t>CFO</t>
  </si>
  <si>
    <t>Shakira Nakidali</t>
  </si>
  <si>
    <t>Head of Finance</t>
  </si>
  <si>
    <t>227435200018</t>
  </si>
  <si>
    <t>041/20</t>
  </si>
  <si>
    <t>Julius Yiga Bakabaage</t>
  </si>
  <si>
    <t>Canary Mugume</t>
  </si>
  <si>
    <t>01440016690295</t>
  </si>
  <si>
    <t>Sylvia Nanozi</t>
  </si>
  <si>
    <t>Bosco Afasha</t>
  </si>
  <si>
    <t>227501200017</t>
  </si>
  <si>
    <t>437/20</t>
  </si>
  <si>
    <t>Catherine Nakato</t>
  </si>
  <si>
    <t>Lawrence Mushabe</t>
  </si>
  <si>
    <t>01560016845794</t>
  </si>
  <si>
    <t>039/25</t>
  </si>
  <si>
    <t>Catherine Namugerwa</t>
  </si>
  <si>
    <t>Bureau Reporter</t>
  </si>
  <si>
    <t>Nabakooza Lydia</t>
  </si>
  <si>
    <t>01060016840355</t>
  </si>
  <si>
    <t>Bureau Reporter- Mbarara</t>
  </si>
  <si>
    <t>Elisha Njawuzi</t>
  </si>
  <si>
    <t>654/20</t>
  </si>
  <si>
    <t>Charlene Kamukama</t>
  </si>
  <si>
    <t>01490016932319</t>
  </si>
  <si>
    <t>WXO</t>
  </si>
  <si>
    <t>Levi Muhoozi</t>
  </si>
  <si>
    <t>01100016898042</t>
  </si>
  <si>
    <t>667/20</t>
  </si>
  <si>
    <t>Christopher Lutwama</t>
  </si>
  <si>
    <t>Content Manager Officer</t>
  </si>
  <si>
    <t>Ronald Ekak</t>
  </si>
  <si>
    <t>01660015507259</t>
  </si>
  <si>
    <t>011/20</t>
  </si>
  <si>
    <t xml:space="preserve"> Christopher Wanobere</t>
  </si>
  <si>
    <t>Chief Programming</t>
  </si>
  <si>
    <t>Dan Ayebare</t>
  </si>
  <si>
    <t>News Anchor</t>
  </si>
  <si>
    <t>01490016885547</t>
  </si>
  <si>
    <t>977/20</t>
  </si>
  <si>
    <t>Crish Semanda</t>
  </si>
  <si>
    <t>Hakiim Wampamba</t>
  </si>
  <si>
    <t>01310017130318</t>
  </si>
  <si>
    <t>Grace Nambafu</t>
  </si>
  <si>
    <t>01250017566247</t>
  </si>
  <si>
    <t>026/20</t>
  </si>
  <si>
    <t>Dalton Kaweesa</t>
  </si>
  <si>
    <t>Head of Current Affairs</t>
  </si>
  <si>
    <t>Mubiru Ivan</t>
  </si>
  <si>
    <t>01310014621642</t>
  </si>
  <si>
    <t>Simon Kisakye</t>
  </si>
  <si>
    <t>227532200017</t>
  </si>
  <si>
    <t>933/20</t>
  </si>
  <si>
    <t>Mulinde Stephen</t>
  </si>
  <si>
    <t>228407200018</t>
  </si>
  <si>
    <t>Samson Kasumba Mulunda</t>
  </si>
  <si>
    <t>013847</t>
  </si>
  <si>
    <t>6005835370</t>
  </si>
  <si>
    <t>119/20</t>
  </si>
  <si>
    <t>David Ochieng</t>
  </si>
  <si>
    <t>Bureau Chief - Bukedi</t>
  </si>
  <si>
    <t>Solomon Ssaka</t>
  </si>
  <si>
    <t>6006425257</t>
  </si>
  <si>
    <t>Ssozi Edward</t>
  </si>
  <si>
    <t>01351152753984</t>
  </si>
  <si>
    <t>Patrick Ejobi</t>
  </si>
  <si>
    <t>0698164611</t>
  </si>
  <si>
    <t>560/20</t>
  </si>
  <si>
    <t>Dennis Ibanda Mugulusi</t>
  </si>
  <si>
    <t>GM Broadcast</t>
  </si>
  <si>
    <t>Ivan Rwerekana</t>
  </si>
  <si>
    <t>Shakira Nakisekka</t>
  </si>
  <si>
    <t>6006735868</t>
  </si>
  <si>
    <t>940/20</t>
  </si>
  <si>
    <t>Derrick Kyambadde</t>
  </si>
  <si>
    <t>01560016737501</t>
  </si>
  <si>
    <t>Robert Mwesige</t>
  </si>
  <si>
    <t>6006873853</t>
  </si>
  <si>
    <t>Maurice Muwonge</t>
  </si>
  <si>
    <t>122/20</t>
  </si>
  <si>
    <t>6007132822</t>
  </si>
  <si>
    <t>Derrick Mwanje</t>
  </si>
  <si>
    <t>Contrl room-NBS</t>
  </si>
  <si>
    <t>Judith Aber</t>
  </si>
  <si>
    <t>01490016850378</t>
  </si>
  <si>
    <t>William Nsimbe</t>
  </si>
  <si>
    <t>6006672807</t>
  </si>
  <si>
    <t>Ntege Hamza</t>
  </si>
  <si>
    <t>Derrick Ssemwogerere henry</t>
  </si>
  <si>
    <t>Justus Barongo</t>
  </si>
  <si>
    <t>Mbabaali Mike</t>
  </si>
  <si>
    <t>01430016901728</t>
  </si>
  <si>
    <t>6007518194</t>
  </si>
  <si>
    <t>027/20</t>
  </si>
  <si>
    <t>Desire Derekford Mugumisa</t>
  </si>
  <si>
    <t>Head of Corporate Affairs</t>
  </si>
  <si>
    <t>Gorret Nakalinzi</t>
  </si>
  <si>
    <t>01193012883443</t>
  </si>
  <si>
    <t>028/20</t>
  </si>
  <si>
    <t>Dorah Atwongyeire</t>
  </si>
  <si>
    <t>Online Editor</t>
  </si>
  <si>
    <t>Lotus Martha Kugonza</t>
  </si>
  <si>
    <t>471/20</t>
  </si>
  <si>
    <t>Birungi Esther</t>
  </si>
  <si>
    <t>Eddy Enuru</t>
  </si>
  <si>
    <t>Soroti Chief Bureau</t>
  </si>
  <si>
    <t>Martha Namutebi</t>
  </si>
  <si>
    <t>6007644483</t>
  </si>
  <si>
    <t>997/25</t>
  </si>
  <si>
    <t>Edgar Mathew Karuhanga</t>
  </si>
  <si>
    <t>Sedrick Matsiko</t>
  </si>
  <si>
    <t>Sherinah Nimushaba</t>
  </si>
  <si>
    <t>126/20</t>
  </si>
  <si>
    <t>01560017338776</t>
  </si>
  <si>
    <t>Edward Ssozi</t>
  </si>
  <si>
    <t>Transmission Ass</t>
  </si>
  <si>
    <t>Joseph Wamala</t>
  </si>
  <si>
    <t>6009824128</t>
  </si>
  <si>
    <t>Gerald Mukisa</t>
  </si>
  <si>
    <t>0110017475839</t>
  </si>
  <si>
    <t>Shamim Nabakooza</t>
  </si>
  <si>
    <t>040147</t>
  </si>
  <si>
    <t>9030017113398</t>
  </si>
  <si>
    <t>582/20</t>
  </si>
  <si>
    <t>Transmission Asst</t>
  </si>
  <si>
    <t>Martin Okudi</t>
  </si>
  <si>
    <t>9030011090671</t>
  </si>
  <si>
    <t>Benjamin Egesa Osipo</t>
  </si>
  <si>
    <t>719/20</t>
  </si>
  <si>
    <t>Komugisha Aisha</t>
  </si>
  <si>
    <t>01410010976715</t>
  </si>
  <si>
    <t>Emmanuel Ojok Otim</t>
  </si>
  <si>
    <t>9030007928873</t>
  </si>
  <si>
    <t>HOCA</t>
  </si>
  <si>
    <t>Maclean Atuhaire</t>
  </si>
  <si>
    <t>Isaac Kuteesa</t>
  </si>
  <si>
    <t>9030019911925</t>
  </si>
  <si>
    <t>01490018034714</t>
  </si>
  <si>
    <t>128/20</t>
  </si>
  <si>
    <t>Emmanuel Lukwago</t>
  </si>
  <si>
    <t>In-House DJ</t>
  </si>
  <si>
    <t>Yusuf Kabenge</t>
  </si>
  <si>
    <t>Ramathan Kayiwa</t>
  </si>
  <si>
    <t>227492200017</t>
  </si>
  <si>
    <t>9030015720904</t>
  </si>
  <si>
    <t>Precious Sarah Yahweh</t>
  </si>
  <si>
    <t>01550018797459</t>
  </si>
  <si>
    <t>9030023625635</t>
  </si>
  <si>
    <t>536/20</t>
  </si>
  <si>
    <t>Enock Kirimwira</t>
  </si>
  <si>
    <t>Head of Multi media</t>
  </si>
  <si>
    <t>9030016402671</t>
  </si>
  <si>
    <t>130/20</t>
  </si>
  <si>
    <t>Eric Musisi</t>
  </si>
  <si>
    <t>Noel Nabakka</t>
  </si>
  <si>
    <t>Editor</t>
  </si>
  <si>
    <t>9030018341106</t>
  </si>
  <si>
    <t>Victor Immanuel Oloo</t>
  </si>
  <si>
    <t>9030017593802</t>
  </si>
  <si>
    <t>666/20</t>
  </si>
  <si>
    <t>Eric Wamahe</t>
  </si>
  <si>
    <t xml:space="preserve">Head of Bids </t>
  </si>
  <si>
    <t>Pius Enywaru</t>
  </si>
  <si>
    <t>9030015949219</t>
  </si>
  <si>
    <t>Tracy Beatrice Tendo</t>
  </si>
  <si>
    <t>9030020761651</t>
  </si>
  <si>
    <t>766/20</t>
  </si>
  <si>
    <t>Ernest Mpuuli A</t>
  </si>
  <si>
    <t>9030021292248</t>
  </si>
  <si>
    <t>Richard Oyel</t>
  </si>
  <si>
    <t>9030015018304</t>
  </si>
  <si>
    <t>688/20</t>
  </si>
  <si>
    <t>Esther Birungi</t>
  </si>
  <si>
    <t>Eric Musisi Njagala</t>
  </si>
  <si>
    <t>976/20</t>
  </si>
  <si>
    <t>Fadhil Mahad</t>
  </si>
  <si>
    <t>Allan Damba</t>
  </si>
  <si>
    <t>9030025706586</t>
  </si>
  <si>
    <t>Samuel Ssesanga</t>
  </si>
  <si>
    <t>9030020855737</t>
  </si>
  <si>
    <t>Manager Bids and Partnerships</t>
  </si>
  <si>
    <t>967/20</t>
  </si>
  <si>
    <t>Fahad Tenywa</t>
  </si>
  <si>
    <t>Sulaiman Ssebugwawo</t>
  </si>
  <si>
    <t>9030024603422</t>
  </si>
  <si>
    <t>Rhonet Atwiine</t>
  </si>
  <si>
    <t>9030019002372</t>
  </si>
  <si>
    <t>141/20</t>
  </si>
  <si>
    <t>Farish Magembe</t>
  </si>
  <si>
    <t>Bureau Chief - Masaka</t>
  </si>
  <si>
    <t>9030026434687</t>
  </si>
  <si>
    <t>Wavamuno Joshua</t>
  </si>
  <si>
    <t>9030026885204</t>
  </si>
  <si>
    <t>687/20</t>
  </si>
  <si>
    <t>Ferdinand Sekiganda</t>
  </si>
  <si>
    <t>Legal Officer</t>
  </si>
  <si>
    <t>Twaha Mukiibi Kyabasinga</t>
  </si>
  <si>
    <t>300147</t>
  </si>
  <si>
    <t>1038101003750</t>
  </si>
  <si>
    <t>181/20</t>
  </si>
  <si>
    <t>Francis Isaano</t>
  </si>
  <si>
    <t>Photographer</t>
  </si>
  <si>
    <t>Lukwago Emmanuel</t>
  </si>
  <si>
    <t>Hassan Sibu Ssebuliba</t>
  </si>
  <si>
    <t>1035101005946</t>
  </si>
  <si>
    <t>361/20</t>
  </si>
  <si>
    <t>Francis Kasozi</t>
  </si>
  <si>
    <t>Tansmission Officer</t>
  </si>
  <si>
    <t>Gerald Matembu</t>
  </si>
  <si>
    <t>1014100862873</t>
  </si>
  <si>
    <t>Kisamu Martin</t>
  </si>
  <si>
    <t>1044102880865</t>
  </si>
  <si>
    <t>985/20</t>
  </si>
  <si>
    <t>Francis Mutambuka</t>
  </si>
  <si>
    <t>Fleet Manager</t>
  </si>
  <si>
    <t>1043101009321</t>
  </si>
  <si>
    <t>Isaano Francis</t>
  </si>
  <si>
    <t>1044101501748</t>
  </si>
  <si>
    <t>681/20</t>
  </si>
  <si>
    <t>Fred Ssewajje</t>
  </si>
  <si>
    <t>Bureau Reporter Mubender</t>
  </si>
  <si>
    <t>1001103091028</t>
  </si>
  <si>
    <t>147/20</t>
  </si>
  <si>
    <t>Fredrick Lutakome</t>
  </si>
  <si>
    <t>1007101235180</t>
  </si>
  <si>
    <t>David Manzi</t>
  </si>
  <si>
    <t>227852200013</t>
  </si>
  <si>
    <t>1036101310374</t>
  </si>
  <si>
    <t>445/20</t>
  </si>
  <si>
    <t>Geofrey Senyondo</t>
  </si>
  <si>
    <t>NCC Officer</t>
  </si>
  <si>
    <t>Transmission Operator</t>
  </si>
  <si>
    <t>1001102881446</t>
  </si>
  <si>
    <t>Alii Constant</t>
  </si>
  <si>
    <t>1035100920871</t>
  </si>
  <si>
    <t>152/20</t>
  </si>
  <si>
    <t>George Katagwa</t>
  </si>
  <si>
    <t>Bakuwamma Adrian</t>
  </si>
  <si>
    <t>Fleet manager</t>
  </si>
  <si>
    <t>Crish Ssemanda</t>
  </si>
  <si>
    <t>382/20</t>
  </si>
  <si>
    <t>1034102854089</t>
  </si>
  <si>
    <t>Bugisu Bureau</t>
  </si>
  <si>
    <t>1027102834287</t>
  </si>
  <si>
    <t>Micheal Ocungirwoth</t>
  </si>
  <si>
    <t>227478200011</t>
  </si>
  <si>
    <t>986/20</t>
  </si>
  <si>
    <t>1035100926660</t>
  </si>
  <si>
    <t>Okech Jimmy Walter</t>
  </si>
  <si>
    <t>1004102987735</t>
  </si>
  <si>
    <t>917/20</t>
  </si>
  <si>
    <t>Gloria Nambi</t>
  </si>
  <si>
    <t>Business Data Analyst</t>
  </si>
  <si>
    <t>1002100523627</t>
  </si>
  <si>
    <t>Geofrey Ssenyondo</t>
  </si>
  <si>
    <t>163047</t>
  </si>
  <si>
    <t>032/20</t>
  </si>
  <si>
    <t>Greggy Busolo</t>
  </si>
  <si>
    <t>Operations &amp; Quality Officer</t>
  </si>
  <si>
    <t>3201918982</t>
  </si>
  <si>
    <t>Mohsen Kaliisa</t>
  </si>
  <si>
    <t>Bureau Chief- Bugisu</t>
  </si>
  <si>
    <t>2520524307</t>
  </si>
  <si>
    <t>156/20</t>
  </si>
  <si>
    <t>Godfrey Wavamuno</t>
  </si>
  <si>
    <t>Joshua Kakeeto</t>
  </si>
  <si>
    <t>Head of Operations</t>
  </si>
  <si>
    <t>3203655703</t>
  </si>
  <si>
    <t>157/20</t>
  </si>
  <si>
    <t>Senior News Producer</t>
  </si>
  <si>
    <t>3202712678</t>
  </si>
  <si>
    <t>Isaac Mubeezi</t>
  </si>
  <si>
    <t>3202505861</t>
  </si>
  <si>
    <t>Albert Ahabwe</t>
  </si>
  <si>
    <t>Tracy Ipiya</t>
  </si>
  <si>
    <t>9030025816136</t>
  </si>
  <si>
    <t>706/20</t>
  </si>
  <si>
    <t>Accountant</t>
  </si>
  <si>
    <t>Irene Nalumu</t>
  </si>
  <si>
    <t>Grace Ayebale</t>
  </si>
  <si>
    <t>3201883280</t>
  </si>
  <si>
    <t>9030025872753</t>
  </si>
  <si>
    <t>Mujuni Oscar Diego</t>
  </si>
  <si>
    <t>158/20</t>
  </si>
  <si>
    <t>Grace Ayebare</t>
  </si>
  <si>
    <t>Scheduler</t>
  </si>
  <si>
    <t>SM Editorial Advisory</t>
  </si>
  <si>
    <t>Tonny Muwangala</t>
  </si>
  <si>
    <t>3201479732</t>
  </si>
  <si>
    <t>512/20</t>
  </si>
  <si>
    <t>228039200018</t>
  </si>
  <si>
    <t>Tax Accountant</t>
  </si>
  <si>
    <t>162/20</t>
  </si>
  <si>
    <t>Hakim Kanyere</t>
  </si>
  <si>
    <t>227939200012</t>
  </si>
  <si>
    <t>Bureau Chief - Busoga</t>
  </si>
  <si>
    <t>Joshua Wavamuno</t>
  </si>
  <si>
    <t>Mathias Alinda</t>
  </si>
  <si>
    <t>228027200024</t>
  </si>
  <si>
    <t>439/20</t>
  </si>
  <si>
    <t>Hakim Wampamba</t>
  </si>
  <si>
    <t>Kairere Angela</t>
  </si>
  <si>
    <t>Ssemwogerere Ivan</t>
  </si>
  <si>
    <t>3200420955</t>
  </si>
  <si>
    <t>9030025374338</t>
  </si>
  <si>
    <t>Helen Arinaitwe</t>
  </si>
  <si>
    <t>290147</t>
  </si>
  <si>
    <t>7217503053</t>
  </si>
  <si>
    <t>164/20</t>
  </si>
  <si>
    <t>Hamza Ntege</t>
  </si>
  <si>
    <t>Show Host</t>
  </si>
  <si>
    <t>Jean Francis Ssemanda</t>
  </si>
  <si>
    <t>Erick Wamahe</t>
  </si>
  <si>
    <t>Juliet Mbabazi</t>
  </si>
  <si>
    <t>166/20</t>
  </si>
  <si>
    <t>Hassan Sebuliba</t>
  </si>
  <si>
    <t>7217505262</t>
  </si>
  <si>
    <t>Tech Ass</t>
  </si>
  <si>
    <t>7255003841</t>
  </si>
  <si>
    <t>167/20</t>
  </si>
  <si>
    <t>Hassan Wasswa</t>
  </si>
  <si>
    <t>Martin Kisamu</t>
  </si>
  <si>
    <t>Francis Mutambuka Bukabura</t>
  </si>
  <si>
    <t>7247507404</t>
  </si>
  <si>
    <t>Canary Ankunda Mugume</t>
  </si>
  <si>
    <t>Jovia Kalungi Atteyi</t>
  </si>
  <si>
    <t>357/20</t>
  </si>
  <si>
    <t>7270001623</t>
  </si>
  <si>
    <t>1009101832415</t>
  </si>
  <si>
    <t>Hellen Arinaitwe</t>
  </si>
  <si>
    <t>Client Relations</t>
  </si>
  <si>
    <t>Moses Namayo</t>
  </si>
  <si>
    <t>7170010993</t>
  </si>
  <si>
    <t>Video Journalist</t>
  </si>
  <si>
    <t>1030101337913</t>
  </si>
  <si>
    <t>362/20</t>
  </si>
  <si>
    <t>110147</t>
  </si>
  <si>
    <t>19267705010102</t>
  </si>
  <si>
    <t>Exec Driver</t>
  </si>
  <si>
    <t>080147</t>
  </si>
  <si>
    <t>0100821477600</t>
  </si>
  <si>
    <t>Client Relations Manager</t>
  </si>
  <si>
    <t>169/20</t>
  </si>
  <si>
    <t>Henry Kyomu</t>
  </si>
  <si>
    <t>Nina Kakwanzi</t>
  </si>
  <si>
    <t>Head of camera men</t>
  </si>
  <si>
    <t>0100823353400</t>
  </si>
  <si>
    <t>Ernest Mpuuli</t>
  </si>
  <si>
    <t>0100809297800</t>
  </si>
  <si>
    <t>170/20</t>
  </si>
  <si>
    <t>James Mutatina</t>
  </si>
  <si>
    <t>507155977001</t>
  </si>
  <si>
    <t>538/20</t>
  </si>
  <si>
    <t>Isaac Kisembo Baguma</t>
  </si>
  <si>
    <t>1000058544</t>
  </si>
  <si>
    <t>Joel Ssali Akiiki</t>
  </si>
  <si>
    <t>AbdulMajid Mugisa</t>
  </si>
  <si>
    <t>117/26</t>
  </si>
  <si>
    <t>Imam Balinda</t>
  </si>
  <si>
    <t>227496200017</t>
  </si>
  <si>
    <t>Patrick Obore</t>
  </si>
  <si>
    <t>227505200012</t>
  </si>
  <si>
    <t>174/20</t>
  </si>
  <si>
    <t>TOTAL</t>
  </si>
  <si>
    <t>930/20</t>
  </si>
  <si>
    <t>TMTS</t>
  </si>
  <si>
    <t>662/20</t>
  </si>
  <si>
    <t>Mariam Kaliisa</t>
  </si>
  <si>
    <t>227442200018</t>
  </si>
  <si>
    <t>203/25</t>
  </si>
  <si>
    <t>Busolo Greggy</t>
  </si>
  <si>
    <t>6005916117</t>
  </si>
  <si>
    <t>060/20</t>
  </si>
  <si>
    <t>Moses Oyoma</t>
  </si>
  <si>
    <t>7255003812</t>
  </si>
  <si>
    <t>Lovisa Namayanja</t>
  </si>
  <si>
    <t>179/20</t>
  </si>
  <si>
    <t>1044101713948</t>
  </si>
  <si>
    <t>Isaac Mubuuka</t>
  </si>
  <si>
    <t>Isaac Ssekabira</t>
  </si>
  <si>
    <t>7210003175</t>
  </si>
  <si>
    <t>Milifati Namuwonge</t>
  </si>
  <si>
    <t>1001101829123</t>
  </si>
  <si>
    <t>473/20</t>
  </si>
  <si>
    <t>Chief Bureau</t>
  </si>
  <si>
    <t>7247507651</t>
  </si>
  <si>
    <t>Victoria Mukiibi</t>
  </si>
  <si>
    <t>451/20</t>
  </si>
  <si>
    <t>6007401807</t>
  </si>
  <si>
    <t>Isaac Sekabira</t>
  </si>
  <si>
    <t>Ass Legal Officer</t>
  </si>
  <si>
    <t>Patrick Masereka Makanika</t>
  </si>
  <si>
    <t>1022101583075</t>
  </si>
  <si>
    <t xml:space="preserve">Baker Zenna </t>
  </si>
  <si>
    <t>Head Video Editor</t>
  </si>
  <si>
    <t>691/20</t>
  </si>
  <si>
    <t>Isiah Ampumuza</t>
  </si>
  <si>
    <t>1000102660057</t>
  </si>
  <si>
    <t>01510011705109</t>
  </si>
  <si>
    <t>Baseeta Benjamin Mwine</t>
  </si>
  <si>
    <t>Andrew kabuura</t>
  </si>
  <si>
    <t>9030006737128</t>
  </si>
  <si>
    <t>183/20</t>
  </si>
  <si>
    <t>Ismael Isiko</t>
  </si>
  <si>
    <t>0100805282200</t>
  </si>
  <si>
    <t>Ismael Ssembatya</t>
  </si>
  <si>
    <t>01981011008377</t>
  </si>
  <si>
    <t>Head of Legal</t>
  </si>
  <si>
    <t>014/20</t>
  </si>
  <si>
    <t xml:space="preserve">Ismael Obadia Otim </t>
  </si>
  <si>
    <t>EXCO</t>
  </si>
  <si>
    <t>Kin Kariisa</t>
  </si>
  <si>
    <t>Namusaazi Zainab Hakiimah</t>
  </si>
  <si>
    <t>3201857119</t>
  </si>
  <si>
    <t>184/20</t>
  </si>
  <si>
    <t>Ismail Ssembatya</t>
  </si>
  <si>
    <t>Head of Editorial Ops</t>
  </si>
  <si>
    <t>200320200016</t>
  </si>
  <si>
    <t>3202813386</t>
  </si>
  <si>
    <t>Rachel Nyambura Mugisha</t>
  </si>
  <si>
    <t>7247506269</t>
  </si>
  <si>
    <t>141/26</t>
  </si>
  <si>
    <t>Ivan Mubiru</t>
  </si>
  <si>
    <t>Chistopher Wanobere</t>
  </si>
  <si>
    <t>185/20</t>
  </si>
  <si>
    <t>Sauba Luwaga</t>
  </si>
  <si>
    <t>01413099960130</t>
  </si>
  <si>
    <t>Obadia Ismail otim</t>
  </si>
  <si>
    <t>121/26</t>
  </si>
  <si>
    <t>7210003174</t>
  </si>
  <si>
    <t>Ivan Ssemogerere</t>
  </si>
  <si>
    <t>Mutesi Lilian</t>
  </si>
  <si>
    <t>7247503592</t>
  </si>
  <si>
    <t>Chief Legal Officer</t>
  </si>
  <si>
    <t>523/20</t>
  </si>
  <si>
    <t>Jamie Asiimire</t>
  </si>
  <si>
    <t>Admin</t>
  </si>
  <si>
    <t>Osbert Namanya</t>
  </si>
  <si>
    <t>3201884356</t>
  </si>
  <si>
    <t>SMTS</t>
  </si>
  <si>
    <t>187/20</t>
  </si>
  <si>
    <t>Jamila Mulindwa</t>
  </si>
  <si>
    <t>Steven Musoke</t>
  </si>
  <si>
    <t>Solomon Obaet</t>
  </si>
  <si>
    <t>01360011828785</t>
  </si>
  <si>
    <t>Joyce Arinda</t>
  </si>
  <si>
    <t>Serugo Pius</t>
  </si>
  <si>
    <t>188/20</t>
  </si>
  <si>
    <t xml:space="preserve"> Jean Francis Ssemanda</t>
  </si>
  <si>
    <t>6006138622</t>
  </si>
  <si>
    <t>Nakiyuka Patience</t>
  </si>
  <si>
    <t>966/20</t>
  </si>
  <si>
    <t>Maureen Racheal Mukyala</t>
  </si>
  <si>
    <t>Jimmy Okech</t>
  </si>
  <si>
    <t>1043101180885</t>
  </si>
  <si>
    <t>Joan Umutesi</t>
  </si>
  <si>
    <t>Stylist</t>
  </si>
  <si>
    <t>James Mutatiina</t>
  </si>
  <si>
    <t>Ssali Swaliki</t>
  </si>
  <si>
    <t>908/20</t>
  </si>
  <si>
    <t>Joel Ssali</t>
  </si>
  <si>
    <t>01063044491857</t>
  </si>
  <si>
    <t>Marcel Obongonyinge</t>
  </si>
  <si>
    <t>572/20</t>
  </si>
  <si>
    <t>John Paul Kiwanuka</t>
  </si>
  <si>
    <t>227240200011</t>
  </si>
  <si>
    <t>Wavamuno Godfrey</t>
  </si>
  <si>
    <t>01073089969201</t>
  </si>
  <si>
    <t>463/20</t>
  </si>
  <si>
    <t xml:space="preserve">Babyale Nelson </t>
  </si>
  <si>
    <t>01200016925298</t>
  </si>
  <si>
    <t>Tenywa Fahad</t>
  </si>
  <si>
    <t>197/20</t>
  </si>
  <si>
    <t>Desire Derekeford Mugumisa</t>
  </si>
  <si>
    <t>1490016122970</t>
  </si>
  <si>
    <t>709/20</t>
  </si>
  <si>
    <t>Bureau chief Gulu</t>
  </si>
  <si>
    <t>Jovita Musiimenta</t>
  </si>
  <si>
    <t>3201480748</t>
  </si>
  <si>
    <t>388/20</t>
  </si>
  <si>
    <t>Penina Nyago</t>
  </si>
  <si>
    <t>4420003793</t>
  </si>
  <si>
    <t>198/20</t>
  </si>
  <si>
    <t>Joseph Turyagumanawe</t>
  </si>
  <si>
    <t>Rogers Makokha Berochan</t>
  </si>
  <si>
    <t>130447</t>
  </si>
  <si>
    <t>02193350003</t>
  </si>
  <si>
    <t>9030003708046</t>
  </si>
  <si>
    <t>199/20</t>
  </si>
  <si>
    <t>Josephat Walugembe</t>
  </si>
  <si>
    <t>News Producer</t>
  </si>
  <si>
    <t>Zawadi Kaliisa</t>
  </si>
  <si>
    <t>1044100989923</t>
  </si>
  <si>
    <t>588/20</t>
  </si>
  <si>
    <t>201/20</t>
  </si>
  <si>
    <t>GRAND TOTAL</t>
  </si>
  <si>
    <t>718/20</t>
  </si>
  <si>
    <t>Joshua Rwamura</t>
  </si>
  <si>
    <t>HILLCOM</t>
  </si>
  <si>
    <t>964/20</t>
  </si>
  <si>
    <t>Mwanje Derrick Bright</t>
  </si>
  <si>
    <t>S/N</t>
  </si>
  <si>
    <t>7247508055</t>
  </si>
  <si>
    <t>563/20</t>
  </si>
  <si>
    <t>Jovia Kalungi ateenyi</t>
  </si>
  <si>
    <t>Savings -Account</t>
  </si>
  <si>
    <t>774/20</t>
  </si>
  <si>
    <t>David B Nsubuga</t>
  </si>
  <si>
    <t>01661095934669</t>
  </si>
  <si>
    <t>944/20</t>
  </si>
  <si>
    <t>Wxo</t>
  </si>
  <si>
    <t>TMT</t>
  </si>
  <si>
    <t>Francis Muwanguzi</t>
  </si>
  <si>
    <t>News Producer/Anchor</t>
  </si>
  <si>
    <t>Stella Cathy Bazalaki</t>
  </si>
  <si>
    <t>3200583496</t>
  </si>
  <si>
    <t>Phillip Kiwooma</t>
  </si>
  <si>
    <t>7217506193</t>
  </si>
  <si>
    <t>045/20</t>
  </si>
  <si>
    <t>Digital PR</t>
  </si>
  <si>
    <t>Smts</t>
  </si>
  <si>
    <t>Enock Ssentongo</t>
  </si>
  <si>
    <t>062/20</t>
  </si>
  <si>
    <t>Video Journaist</t>
  </si>
  <si>
    <t>Okalebo SamPhilip Asire</t>
  </si>
  <si>
    <t>227495200011</t>
  </si>
  <si>
    <t>Lulego Muhammad Elias</t>
  </si>
  <si>
    <t>211/20</t>
  </si>
  <si>
    <t>General</t>
  </si>
  <si>
    <t>Geofrey Mukwaya</t>
  </si>
  <si>
    <t>01070010156421</t>
  </si>
  <si>
    <t>001/20</t>
  </si>
  <si>
    <t>Kin Ibrahim Kariisa</t>
  </si>
  <si>
    <t>CEO</t>
  </si>
  <si>
    <t>Asia Namagala</t>
  </si>
  <si>
    <t>0100822622100</t>
  </si>
  <si>
    <t>Paul Namayo Isabirye</t>
  </si>
  <si>
    <t>Nikurungi Martha Shiba</t>
  </si>
  <si>
    <t>Isaac Ojulu</t>
  </si>
  <si>
    <t>0100823534200</t>
  </si>
  <si>
    <t>7255003428</t>
  </si>
  <si>
    <t>213/20</t>
  </si>
  <si>
    <t>Audit Ass</t>
  </si>
  <si>
    <t>Ahmad Kaliisa Lutale</t>
  </si>
  <si>
    <t>9030023074264</t>
  </si>
  <si>
    <t>606/20</t>
  </si>
  <si>
    <t>Mildred Babirye</t>
  </si>
  <si>
    <t>Bureau Reporter-Entebbe</t>
  </si>
  <si>
    <t>1001103050151</t>
  </si>
  <si>
    <t>Opolot Praise</t>
  </si>
  <si>
    <t>SM Client Relations</t>
  </si>
  <si>
    <t>9030028027205</t>
  </si>
  <si>
    <t>Charles Byaruhanga</t>
  </si>
  <si>
    <t>32048890250</t>
  </si>
  <si>
    <t>Hadijjah Katumba</t>
  </si>
  <si>
    <t>748/20</t>
  </si>
  <si>
    <t>Brand Manager</t>
  </si>
  <si>
    <t>Luwaga Mark</t>
  </si>
  <si>
    <t>1044103261680</t>
  </si>
  <si>
    <t>Sheila Tusiime Mugisha</t>
  </si>
  <si>
    <t>019/20</t>
  </si>
  <si>
    <t>01063013918834</t>
  </si>
  <si>
    <t>Lilian Mutesi</t>
  </si>
  <si>
    <t>Tuyishimire Bertrand</t>
  </si>
  <si>
    <t>Chief of Staff</t>
  </si>
  <si>
    <t>Hillary Enock Okiring</t>
  </si>
  <si>
    <t>3202481170</t>
  </si>
  <si>
    <t>653/20</t>
  </si>
  <si>
    <t>Mercy Kibirige</t>
  </si>
  <si>
    <t>01151157450666</t>
  </si>
  <si>
    <t>Bashir Banur Bogere</t>
  </si>
  <si>
    <t>987/22</t>
  </si>
  <si>
    <t>Isabella Tugume</t>
  </si>
  <si>
    <t>1061013601280</t>
  </si>
  <si>
    <t>Louise Rukundo</t>
  </si>
  <si>
    <t>6007799045</t>
  </si>
  <si>
    <t>Gasasira Joshua Conner</t>
  </si>
  <si>
    <t>217/20</t>
  </si>
  <si>
    <t>Lydia Nabakooza</t>
  </si>
  <si>
    <t>1044103285802</t>
  </si>
  <si>
    <t>Kimera Stuart</t>
  </si>
  <si>
    <t>9030000018758</t>
  </si>
  <si>
    <t>Paul Kato Kasule</t>
  </si>
  <si>
    <t>3203548534</t>
  </si>
  <si>
    <t>Ian Robert Mutenda</t>
  </si>
  <si>
    <t>Joel Kugonza</t>
  </si>
  <si>
    <t>9030013908450</t>
  </si>
  <si>
    <t>1001101462207</t>
  </si>
  <si>
    <t>656/20</t>
  </si>
  <si>
    <t>Hussein Ssesanga</t>
  </si>
  <si>
    <t>Percy Michael Kamulegeya</t>
  </si>
  <si>
    <t>9030017437584</t>
  </si>
  <si>
    <t>Calvin Kasadha</t>
  </si>
  <si>
    <t>32051001110</t>
  </si>
  <si>
    <t>641/20</t>
  </si>
  <si>
    <t>Olivia Ziwa Namanda</t>
  </si>
  <si>
    <t>Lordrick Ategeka</t>
  </si>
  <si>
    <t>9030024168572</t>
  </si>
  <si>
    <t>Asst. Admin</t>
  </si>
  <si>
    <t>1004103236280</t>
  </si>
  <si>
    <t>Namayanja Jauharah Kiiti</t>
  </si>
  <si>
    <t>3204278126</t>
  </si>
  <si>
    <t>Jaggwe Michael</t>
  </si>
  <si>
    <t>3200390828</t>
  </si>
  <si>
    <t>020/20</t>
  </si>
  <si>
    <t>Head Comm Broadcast</t>
  </si>
  <si>
    <t>Hakim Kazibwe</t>
  </si>
  <si>
    <t>3204542187</t>
  </si>
  <si>
    <t>John Vianney Nsimbe</t>
  </si>
  <si>
    <t>227553200012</t>
  </si>
  <si>
    <t>221/20</t>
  </si>
  <si>
    <t>Performance Officer</t>
  </si>
  <si>
    <t>Kigozi Micheal</t>
  </si>
  <si>
    <t>1002100995963</t>
  </si>
  <si>
    <t>466/20</t>
  </si>
  <si>
    <t>Protocal</t>
  </si>
  <si>
    <t>NEXT COMMUNICATIONS</t>
  </si>
  <si>
    <t>Faisal Kimuli</t>
  </si>
  <si>
    <t>1001102879642</t>
  </si>
  <si>
    <t>Shafic Madangu</t>
  </si>
  <si>
    <t>1042101335157</t>
  </si>
  <si>
    <t>562/20</t>
  </si>
  <si>
    <t>Joy Njeri Mwangi</t>
  </si>
  <si>
    <t>Fredrick Mawanda</t>
  </si>
  <si>
    <t>1034102448785</t>
  </si>
  <si>
    <t>6009613186</t>
  </si>
  <si>
    <t>792/20</t>
  </si>
  <si>
    <t>Martha Shiba</t>
  </si>
  <si>
    <t>Special Proojects</t>
  </si>
  <si>
    <t>1025102915337</t>
  </si>
  <si>
    <t>Douglas Lwanga</t>
  </si>
  <si>
    <t>Martin Kisaamu</t>
  </si>
  <si>
    <t>Cameraman</t>
  </si>
  <si>
    <t>6003680809</t>
  </si>
  <si>
    <t>Eugene Kavuma</t>
  </si>
  <si>
    <t>7247506547</t>
  </si>
  <si>
    <t>Roger Kitaka Nsubuga</t>
  </si>
  <si>
    <t>6003499640</t>
  </si>
  <si>
    <t>621/20</t>
  </si>
  <si>
    <t>Chief Bureau Adjuman</t>
  </si>
  <si>
    <t>Isaac Lwanga</t>
  </si>
  <si>
    <t>20886905010101</t>
  </si>
  <si>
    <t>Leila Nalukwata</t>
  </si>
  <si>
    <t>Julius Sekadde</t>
  </si>
  <si>
    <t>260147</t>
  </si>
  <si>
    <t>0160009738</t>
  </si>
  <si>
    <t>672/20</t>
  </si>
  <si>
    <t>Hanifa Nakiyemba</t>
  </si>
  <si>
    <t>1002101088595</t>
  </si>
  <si>
    <t>Olivia Nakigozi</t>
  </si>
  <si>
    <t>190147</t>
  </si>
  <si>
    <t>7133484001</t>
  </si>
  <si>
    <t>Sabrina Atwiine</t>
  </si>
  <si>
    <t>9030021016399</t>
  </si>
  <si>
    <t>Pheona Namiiro</t>
  </si>
  <si>
    <t>Lawino Lucyne</t>
  </si>
  <si>
    <t>0600097761</t>
  </si>
  <si>
    <t>095/20</t>
  </si>
  <si>
    <t>01063089285394</t>
  </si>
  <si>
    <t>Nagumya Niwamanya</t>
  </si>
  <si>
    <t>01410017338370</t>
  </si>
  <si>
    <t>316/20</t>
  </si>
  <si>
    <t>Head Sport sales</t>
  </si>
  <si>
    <t>Angella Najjuuko</t>
  </si>
  <si>
    <t>01560016481060</t>
  </si>
  <si>
    <t>226/20</t>
  </si>
  <si>
    <t>Gen</t>
  </si>
  <si>
    <t>Isaac Muwanguzi</t>
  </si>
  <si>
    <t>Eric Lule</t>
  </si>
  <si>
    <t>110/25</t>
  </si>
  <si>
    <t>40147</t>
  </si>
  <si>
    <t>7247507177</t>
  </si>
  <si>
    <t>Briton Bbosa</t>
  </si>
  <si>
    <t>7255003676</t>
  </si>
  <si>
    <t>Patrick Tendo Lubwama</t>
  </si>
  <si>
    <t>7255003940</t>
  </si>
  <si>
    <t>988/23</t>
  </si>
  <si>
    <t>Mike Mbabali</t>
  </si>
  <si>
    <t>Evans Tamusange</t>
  </si>
  <si>
    <t>7255003612</t>
  </si>
  <si>
    <t>Lazrus Masaba</t>
  </si>
  <si>
    <t>1063012255613</t>
  </si>
  <si>
    <t>0100823058400</t>
  </si>
  <si>
    <t>989/24</t>
  </si>
  <si>
    <t>Ayesigye Linoes</t>
  </si>
  <si>
    <t>0100825643900</t>
  </si>
  <si>
    <t>Admire Nabanza</t>
  </si>
  <si>
    <t>7247509220</t>
  </si>
  <si>
    <t>236/20</t>
  </si>
  <si>
    <t>Moses Katumba</t>
  </si>
  <si>
    <t>Peninah Atukunda</t>
  </si>
  <si>
    <t>3201496770</t>
  </si>
  <si>
    <t>Joshua Otim</t>
  </si>
  <si>
    <t>6006619604</t>
  </si>
  <si>
    <t>Tracy Martha Ikopit</t>
  </si>
  <si>
    <t>6008582384</t>
  </si>
  <si>
    <t>237/20</t>
  </si>
  <si>
    <t>Isaac Mukasa</t>
  </si>
  <si>
    <t>1035101388215</t>
  </si>
  <si>
    <t>Brian Aheebwa</t>
  </si>
  <si>
    <t>037/20</t>
  </si>
  <si>
    <t xml:space="preserve"> Head Sales </t>
  </si>
  <si>
    <t>Nelson Matsiko</t>
  </si>
  <si>
    <t>1001101582119</t>
  </si>
  <si>
    <t>Immam Sadiiki Taremwa</t>
  </si>
  <si>
    <t>717/20</t>
  </si>
  <si>
    <t>Muhammad Mutatiina</t>
  </si>
  <si>
    <t>1044101074637</t>
  </si>
  <si>
    <t>Clevis Ngamize</t>
  </si>
  <si>
    <t>1025103320894</t>
  </si>
  <si>
    <t>233/20</t>
  </si>
  <si>
    <t>Muhsin Kaliisa</t>
  </si>
  <si>
    <t xml:space="preserve">Cameran </t>
  </si>
  <si>
    <t>Irene Namara</t>
  </si>
  <si>
    <t>1034103141737</t>
  </si>
  <si>
    <t>Babra Nabukeera</t>
  </si>
  <si>
    <t>9030015962088</t>
  </si>
  <si>
    <t>242/20</t>
  </si>
  <si>
    <t>Mwasit Kaudha</t>
  </si>
  <si>
    <t>Rogers Nayebare</t>
  </si>
  <si>
    <t>9030017652620</t>
  </si>
  <si>
    <t>Head of Human Capital</t>
  </si>
  <si>
    <t>James Sewaya</t>
  </si>
  <si>
    <t>9030017366334</t>
  </si>
  <si>
    <t>244/20</t>
  </si>
  <si>
    <t>Richard Ndagige</t>
  </si>
  <si>
    <t>Nelson Babyale</t>
  </si>
  <si>
    <t>Deputy Head of Eng news</t>
  </si>
  <si>
    <t>9030012672216</t>
  </si>
  <si>
    <t>1044100741883</t>
  </si>
  <si>
    <t>Odong Stanley</t>
  </si>
  <si>
    <t>9030017813187</t>
  </si>
  <si>
    <t>Victoria Atino</t>
  </si>
  <si>
    <t>9030017277269</t>
  </si>
  <si>
    <t>489/20</t>
  </si>
  <si>
    <t>Cynthia Ashaba</t>
  </si>
  <si>
    <t>Benjamin B Mwine</t>
  </si>
  <si>
    <t>9030020593007</t>
  </si>
  <si>
    <t>7255003773</t>
  </si>
  <si>
    <t>Shantana Natumanya</t>
  </si>
  <si>
    <t>9030021183570</t>
  </si>
  <si>
    <t>518/20</t>
  </si>
  <si>
    <t>Mawejje Geoffrey</t>
  </si>
  <si>
    <t>01321153701270</t>
  </si>
  <si>
    <t>Cranimmer Katula</t>
  </si>
  <si>
    <t>3200887484</t>
  </si>
  <si>
    <t>Ssembatya Ismael</t>
  </si>
  <si>
    <t>776/20</t>
  </si>
  <si>
    <t>Jovia Nalunkuuma</t>
  </si>
  <si>
    <t>Oscar Mujuni Diego</t>
  </si>
  <si>
    <t>Sports Reporter</t>
  </si>
  <si>
    <t>Raymond Ssekamatte</t>
  </si>
  <si>
    <t>6008480530</t>
  </si>
  <si>
    <t>Edrine John Kamulya</t>
  </si>
  <si>
    <t>01070014879470</t>
  </si>
  <si>
    <t>713/20</t>
  </si>
  <si>
    <t>Patience Nakiyuka</t>
  </si>
  <si>
    <t>WxO</t>
  </si>
  <si>
    <t>Naggayi Josephine</t>
  </si>
  <si>
    <t>1025103410720</t>
  </si>
  <si>
    <t>551/20</t>
  </si>
  <si>
    <t>Nancy Kemigisha</t>
  </si>
  <si>
    <t>1045101246132</t>
  </si>
  <si>
    <t>047/20</t>
  </si>
  <si>
    <t>Cedric Kirabira</t>
  </si>
  <si>
    <t>Live Sports Producer</t>
  </si>
  <si>
    <t>100823910300</t>
  </si>
  <si>
    <t xml:space="preserve">Nassaka Joweria </t>
  </si>
  <si>
    <t>1003100865576</t>
  </si>
  <si>
    <t>038/25</t>
  </si>
  <si>
    <t>Nakalyango Jovia</t>
  </si>
  <si>
    <t>1036103400187</t>
  </si>
  <si>
    <t>Samantha Agodai</t>
  </si>
  <si>
    <t>50147</t>
  </si>
  <si>
    <t>01071087565384</t>
  </si>
  <si>
    <t>Shamsah Nassimbwa Audrey</t>
  </si>
  <si>
    <t>9030026914514</t>
  </si>
  <si>
    <t>Isaac Kasaija</t>
  </si>
  <si>
    <t>258/20</t>
  </si>
  <si>
    <t>Patrick Sekanjako</t>
  </si>
  <si>
    <t>32016277310</t>
  </si>
  <si>
    <t>Cleaner</t>
  </si>
  <si>
    <t>Vanessa Clare Nalubega</t>
  </si>
  <si>
    <t>01081083593097</t>
  </si>
  <si>
    <t>680/20</t>
  </si>
  <si>
    <t>Paul Aaron Odong</t>
  </si>
  <si>
    <t>Herbert Calvin Okwii</t>
  </si>
  <si>
    <t>65771007010123</t>
  </si>
  <si>
    <t>067/20</t>
  </si>
  <si>
    <t>Pamela Nakintu Mwanje</t>
  </si>
  <si>
    <t>0100826448600</t>
  </si>
  <si>
    <t>705/20</t>
  </si>
  <si>
    <t>Penninah Nyago</t>
  </si>
  <si>
    <t>Credit Controller</t>
  </si>
  <si>
    <t>Abdul Nasser Nsubuga</t>
  </si>
  <si>
    <t>9030028308190</t>
  </si>
  <si>
    <t>527/20</t>
  </si>
  <si>
    <t xml:space="preserve">Ndamagye Isaac </t>
  </si>
  <si>
    <t>1003102147507</t>
  </si>
  <si>
    <t>Mugambe Herman</t>
  </si>
  <si>
    <t>6009623211</t>
  </si>
  <si>
    <t>931/20</t>
  </si>
  <si>
    <t>Asst Quality controller</t>
  </si>
  <si>
    <t>Shafiq Bukenya</t>
  </si>
  <si>
    <t>9030028297806</t>
  </si>
  <si>
    <t>070/20</t>
  </si>
  <si>
    <t>Pius Serugo</t>
  </si>
  <si>
    <t>Head Content production</t>
  </si>
  <si>
    <t>9030026751917</t>
  </si>
  <si>
    <t>009/20</t>
  </si>
  <si>
    <t xml:space="preserve">Rachel Nyambura </t>
  </si>
  <si>
    <t>Chief Commercial Officer</t>
  </si>
  <si>
    <t>Julie Mbabazi</t>
  </si>
  <si>
    <t>01410014601484</t>
  </si>
  <si>
    <t>202/25</t>
  </si>
  <si>
    <t>SANYUKA</t>
  </si>
  <si>
    <t xml:space="preserve"> Bank</t>
  </si>
  <si>
    <t>729/20</t>
  </si>
  <si>
    <t>Ramson Muhaire</t>
  </si>
  <si>
    <t>Namajja Irene Constance</t>
  </si>
  <si>
    <t>998/25</t>
  </si>
  <si>
    <t>Peter Kafuko</t>
  </si>
  <si>
    <t>6007012355</t>
  </si>
  <si>
    <t>Godfrey Badebye</t>
  </si>
  <si>
    <t>6003398216</t>
  </si>
  <si>
    <t>724/20</t>
  </si>
  <si>
    <t>266/20</t>
  </si>
  <si>
    <t>News Repoter</t>
  </si>
  <si>
    <t>G.STAFF</t>
  </si>
  <si>
    <t>Brian Semanda</t>
  </si>
  <si>
    <t>7255004002</t>
  </si>
  <si>
    <t>321/20</t>
  </si>
  <si>
    <t>Karamoja Bureau Chief</t>
  </si>
  <si>
    <t>Alfa Hussein Jingo</t>
  </si>
  <si>
    <t>7247509747</t>
  </si>
  <si>
    <t>268/20</t>
  </si>
  <si>
    <t>Jonathan Semanda</t>
  </si>
  <si>
    <t>Mukaaga Ronald</t>
  </si>
  <si>
    <t>099/25</t>
  </si>
  <si>
    <t>01100015792983</t>
  </si>
  <si>
    <t>Rogers Makokha Berochen</t>
  </si>
  <si>
    <t>Mulinde Faisal kibuye</t>
  </si>
  <si>
    <t>Fahad Ssebagala</t>
  </si>
  <si>
    <t>01063087495979</t>
  </si>
  <si>
    <t>564/20</t>
  </si>
  <si>
    <t>Waako Brian Kenedy</t>
  </si>
  <si>
    <t>9030022097945</t>
  </si>
  <si>
    <t>Nyambura Rachel Thondu</t>
  </si>
  <si>
    <t>Hellen Natukunda</t>
  </si>
  <si>
    <t>01061159052538</t>
  </si>
  <si>
    <t>1039102984261</t>
  </si>
  <si>
    <t>273/20</t>
  </si>
  <si>
    <t>Ronald Mukaaga</t>
  </si>
  <si>
    <t>Technical Asst</t>
  </si>
  <si>
    <t>Carren Naiga Madrine</t>
  </si>
  <si>
    <t>7174886001</t>
  </si>
  <si>
    <t>Arthur Bogere Kazibwe</t>
  </si>
  <si>
    <t>3202271743</t>
  </si>
  <si>
    <t>275/20</t>
  </si>
  <si>
    <t>Ruth Ayamo Eyobu</t>
  </si>
  <si>
    <t>Dalton Wanyera</t>
  </si>
  <si>
    <t>Librairian</t>
  </si>
  <si>
    <t>Mark Kayondo</t>
  </si>
  <si>
    <t>252947</t>
  </si>
  <si>
    <t>2318150559</t>
  </si>
  <si>
    <t>278/20</t>
  </si>
  <si>
    <t>News Director</t>
  </si>
  <si>
    <t>073/20</t>
  </si>
  <si>
    <t>NEXT RADIO</t>
  </si>
  <si>
    <t>Samuel Ibanda</t>
  </si>
  <si>
    <t>074/20</t>
  </si>
  <si>
    <t>Current Affair - on air Personality</t>
  </si>
  <si>
    <t>Aloyo Anne Patience</t>
  </si>
  <si>
    <t>7217505966</t>
  </si>
  <si>
    <t>006/20</t>
  </si>
  <si>
    <t>Internal Auditor</t>
  </si>
  <si>
    <t>Lindah Elizabeth Nduwumwami</t>
  </si>
  <si>
    <t>7247506986</t>
  </si>
  <si>
    <t>778/20</t>
  </si>
  <si>
    <t>Facility Manager</t>
  </si>
  <si>
    <t>Ronnie Musiimenta</t>
  </si>
  <si>
    <t>3020570401</t>
  </si>
  <si>
    <t>Shafik Madangu</t>
  </si>
  <si>
    <t>SMT</t>
  </si>
  <si>
    <t>Kathreen Tusiime</t>
  </si>
  <si>
    <t>01063089339242</t>
  </si>
  <si>
    <t>Head of Commercial Ops</t>
  </si>
  <si>
    <t>Okalebo Sam Philips</t>
  </si>
  <si>
    <t>Ernest Akandinda</t>
  </si>
  <si>
    <t>6003381100</t>
  </si>
  <si>
    <t>050/25</t>
  </si>
  <si>
    <t>Audit Officer/ Events exec</t>
  </si>
  <si>
    <t>Marvin Wasswa</t>
  </si>
  <si>
    <t>1002101171609</t>
  </si>
  <si>
    <t>Bertha Okori</t>
  </si>
  <si>
    <t>6008956829</t>
  </si>
  <si>
    <t>529/20</t>
  </si>
  <si>
    <t>Clerical Officer</t>
  </si>
  <si>
    <t>Luke Olule Lokebe</t>
  </si>
  <si>
    <t>9030020042469</t>
  </si>
  <si>
    <t>Malvi Prashant Bhatia</t>
  </si>
  <si>
    <t>7345512001</t>
  </si>
  <si>
    <t>436/20</t>
  </si>
  <si>
    <t>GSTAFF</t>
  </si>
  <si>
    <t>655/20</t>
  </si>
  <si>
    <t xml:space="preserve">Sherinah Nimushaba </t>
  </si>
  <si>
    <t>6006242950</t>
  </si>
  <si>
    <t>AFRO MOBILE</t>
  </si>
  <si>
    <t>049/20</t>
  </si>
  <si>
    <t>Exec- Marketing</t>
  </si>
  <si>
    <t>Gloria Akello</t>
  </si>
  <si>
    <t>1001101267695</t>
  </si>
  <si>
    <t>147/26</t>
  </si>
  <si>
    <t>Head of Projects Operations</t>
  </si>
  <si>
    <t>Zulaika Nicole Kabira</t>
  </si>
  <si>
    <t>7255003843</t>
  </si>
  <si>
    <t>Richard Tukasingura</t>
  </si>
  <si>
    <t>3203358062</t>
  </si>
  <si>
    <t>765/20</t>
  </si>
  <si>
    <t>Patrick Kwezi</t>
  </si>
  <si>
    <t>2202408835</t>
  </si>
  <si>
    <t>Douglas Samuel Othieno</t>
  </si>
  <si>
    <t>01170017406604</t>
  </si>
  <si>
    <t>138/26</t>
  </si>
  <si>
    <t>Stephen Mulinde</t>
  </si>
  <si>
    <t>076/20</t>
  </si>
  <si>
    <t xml:space="preserve">Steven Musoke </t>
  </si>
  <si>
    <t>Head Camera</t>
  </si>
  <si>
    <t>NILE POST</t>
  </si>
  <si>
    <t>999/25</t>
  </si>
  <si>
    <t>Kenneth Kazibwe</t>
  </si>
  <si>
    <t>01421152636395</t>
  </si>
  <si>
    <t>Prisca Nakayenze</t>
  </si>
  <si>
    <t>3203525565</t>
  </si>
  <si>
    <t>300/20</t>
  </si>
  <si>
    <t>Swaliki Saali</t>
  </si>
  <si>
    <t>Jacobs Odongo Seaman</t>
  </si>
  <si>
    <t>979/20</t>
  </si>
  <si>
    <t>Sylivia Nanozi</t>
  </si>
  <si>
    <t>SALAM</t>
  </si>
  <si>
    <t>079/20</t>
  </si>
  <si>
    <t>Mustapha Mutuhe</t>
  </si>
  <si>
    <t xml:space="preserve"> Karim Kaliisa</t>
  </si>
  <si>
    <t>Fahad Jjunju</t>
  </si>
  <si>
    <t>9030020601697</t>
  </si>
  <si>
    <t>078/20</t>
  </si>
  <si>
    <t>Thomas Kitimbo</t>
  </si>
  <si>
    <t>Umar Busuulwa</t>
  </si>
  <si>
    <t>Ibrahim Bagalaliwo Senyonga</t>
  </si>
  <si>
    <t>1012102406974</t>
  </si>
  <si>
    <t>962/20</t>
  </si>
  <si>
    <t xml:space="preserve"> Kaiga Muntaswiru</t>
  </si>
  <si>
    <t>9030021955778</t>
  </si>
  <si>
    <t>Umar Kikaye</t>
  </si>
  <si>
    <t>1044101035763</t>
  </si>
  <si>
    <t>Abdussalaam Ali Kinobe</t>
  </si>
  <si>
    <t>932/20</t>
  </si>
  <si>
    <t>1006102005515</t>
  </si>
  <si>
    <t>Shakirah Nakidali</t>
  </si>
  <si>
    <t>Audit officer/Events exec</t>
  </si>
  <si>
    <t>Sekimwanyi Yusuf</t>
  </si>
  <si>
    <t>1034102486615</t>
  </si>
  <si>
    <t>900/20</t>
  </si>
  <si>
    <t>Procurement Officer</t>
  </si>
  <si>
    <t>Marvin Tenywa</t>
  </si>
  <si>
    <t>3202203938</t>
  </si>
  <si>
    <t>Ongee Alfred Depoly</t>
  </si>
  <si>
    <t>304/20</t>
  </si>
  <si>
    <t>NEXT PRODUCTIONS LIMITED</t>
  </si>
  <si>
    <t>Twaha Mukiibi</t>
  </si>
  <si>
    <t>Reporter/show host</t>
  </si>
  <si>
    <t>Joshua Mirembe</t>
  </si>
  <si>
    <t>01070011532583</t>
  </si>
  <si>
    <t>516/20</t>
  </si>
  <si>
    <t>Kevin Kaija Kymuhendo</t>
  </si>
  <si>
    <t>Nkurunziza Godfrey</t>
  </si>
  <si>
    <t>01013099971163</t>
  </si>
  <si>
    <t>01060016628854</t>
  </si>
  <si>
    <t>Diana Betta</t>
  </si>
  <si>
    <t>9030024364290</t>
  </si>
  <si>
    <t>Allan Odongo</t>
  </si>
  <si>
    <t>1025102880598</t>
  </si>
  <si>
    <t>David Kwizera</t>
  </si>
  <si>
    <t>01061096304403</t>
  </si>
  <si>
    <t>024/20</t>
  </si>
  <si>
    <t>Head Clients Relations</t>
  </si>
  <si>
    <t>Emmanuel Ekochu John</t>
  </si>
  <si>
    <t>Kankunda Sheilla Titi Kazzora</t>
  </si>
  <si>
    <t>1041101426261</t>
  </si>
  <si>
    <t>1035101564057</t>
  </si>
  <si>
    <t>Diana Nabimanya</t>
  </si>
  <si>
    <t>James Opoo</t>
  </si>
  <si>
    <t>1025102880603</t>
  </si>
  <si>
    <t>Ssembatya Ismail</t>
  </si>
  <si>
    <t>309/20</t>
  </si>
  <si>
    <t>William Insimbe</t>
  </si>
  <si>
    <t>News anchor</t>
  </si>
  <si>
    <t>Graphics</t>
  </si>
  <si>
    <t>Karan Singh</t>
  </si>
  <si>
    <t>0100818169000</t>
  </si>
  <si>
    <t>Godfrey Muteesasira</t>
  </si>
  <si>
    <t>Allison Niwadinda</t>
  </si>
  <si>
    <t>547/20</t>
  </si>
  <si>
    <t>Zainah Namusaazi</t>
  </si>
  <si>
    <t xml:space="preserve">Waiswa Anthony </t>
  </si>
  <si>
    <t>227337200018</t>
  </si>
  <si>
    <t>Christine Nakizza</t>
  </si>
  <si>
    <t>7225007692</t>
  </si>
  <si>
    <t>314/20</t>
  </si>
  <si>
    <t>Treasury Manager</t>
  </si>
  <si>
    <t>Micheal Sabaavuuma</t>
  </si>
  <si>
    <t>01170019671246</t>
  </si>
  <si>
    <t>UNITED MEDIA</t>
  </si>
  <si>
    <t>Dennis Magyera</t>
  </si>
  <si>
    <t>230147</t>
  </si>
  <si>
    <t>1040000104024</t>
  </si>
  <si>
    <t>Noor Mbazira</t>
  </si>
  <si>
    <t>Kamuli Joshua</t>
  </si>
  <si>
    <t>6006029491</t>
  </si>
  <si>
    <t>3205028244</t>
  </si>
  <si>
    <t>Osborne Mwambari Mugisha</t>
  </si>
  <si>
    <t>0100821934500</t>
  </si>
  <si>
    <t>NEXT COMM</t>
  </si>
  <si>
    <t>NBS SPORT</t>
  </si>
  <si>
    <t>087/20</t>
  </si>
  <si>
    <t>Ahab Bwesigye</t>
  </si>
  <si>
    <t>SMTs</t>
  </si>
  <si>
    <t>963/20</t>
  </si>
  <si>
    <t>Content Creator</t>
  </si>
  <si>
    <t>NPL</t>
  </si>
  <si>
    <t>565/20</t>
  </si>
  <si>
    <t>Scheduller</t>
  </si>
  <si>
    <t>475/20</t>
  </si>
  <si>
    <t>Benjamin Jermain Egesa</t>
  </si>
  <si>
    <t>553/20</t>
  </si>
  <si>
    <t>951/20</t>
  </si>
  <si>
    <t>Constant Alii</t>
  </si>
  <si>
    <t>Sports Producer</t>
  </si>
  <si>
    <t>960/20</t>
  </si>
  <si>
    <t>David Tumusiime</t>
  </si>
  <si>
    <t>975/20</t>
  </si>
  <si>
    <t>970/20</t>
  </si>
  <si>
    <t>Producer/Host</t>
  </si>
  <si>
    <t>434/20</t>
  </si>
  <si>
    <t>Gloria Namayanja</t>
  </si>
  <si>
    <t>Content</t>
  </si>
  <si>
    <t>971/20</t>
  </si>
  <si>
    <t>Ahab Bwesige</t>
  </si>
  <si>
    <t>519/20</t>
  </si>
  <si>
    <t>Camera Person</t>
  </si>
  <si>
    <t>517/20</t>
  </si>
  <si>
    <t>589/20</t>
  </si>
  <si>
    <t xml:space="preserve">Justus Barongo </t>
  </si>
  <si>
    <t>224/20</t>
  </si>
  <si>
    <t>Martin Kaddu</t>
  </si>
  <si>
    <t>583/20</t>
  </si>
  <si>
    <t>552/20</t>
  </si>
  <si>
    <t>Phiona Nakatte</t>
  </si>
  <si>
    <t>973/20</t>
  </si>
  <si>
    <t>585/20</t>
  </si>
  <si>
    <t>682/20</t>
  </si>
  <si>
    <t>Sarah Precious Yaweh</t>
  </si>
  <si>
    <t>Show Host/Producer</t>
  </si>
  <si>
    <t>3205366357</t>
  </si>
  <si>
    <t>294/20</t>
  </si>
  <si>
    <t>750/20</t>
  </si>
  <si>
    <t>Victor Oloo</t>
  </si>
  <si>
    <t>458/20</t>
  </si>
  <si>
    <t>Add: Independent Contractors</t>
  </si>
  <si>
    <t>Programs Manager</t>
  </si>
  <si>
    <t>DJ Mercy</t>
  </si>
  <si>
    <t>After 5 DJ</t>
  </si>
  <si>
    <t>029/20</t>
  </si>
  <si>
    <t>Show host</t>
  </si>
  <si>
    <t>137/20</t>
  </si>
  <si>
    <t>DJ - SNM</t>
  </si>
  <si>
    <t>058/20</t>
  </si>
  <si>
    <t>SM Investigates</t>
  </si>
  <si>
    <t>160/20</t>
  </si>
  <si>
    <t>Oscar Diego Mujuni</t>
  </si>
  <si>
    <t>Hadijah Katumba</t>
  </si>
  <si>
    <t>Show Host-</t>
  </si>
  <si>
    <t>178/20</t>
  </si>
  <si>
    <t>182/20</t>
  </si>
  <si>
    <t>Isabellah Tugume</t>
  </si>
  <si>
    <t>443/20</t>
  </si>
  <si>
    <t>271/20</t>
  </si>
  <si>
    <t>Kitaka Roger</t>
  </si>
  <si>
    <t>228/20</t>
  </si>
  <si>
    <t>Micheal Jaggwe</t>
  </si>
  <si>
    <t>Sign Lang</t>
  </si>
  <si>
    <t>509/20</t>
  </si>
  <si>
    <t>Sign Interpreter</t>
  </si>
  <si>
    <t>251/20</t>
  </si>
  <si>
    <t>Olivia Ziiwa</t>
  </si>
  <si>
    <t>Presenter M316</t>
  </si>
  <si>
    <t>229/20</t>
  </si>
  <si>
    <t>Brian Tebukozza</t>
  </si>
  <si>
    <t>6007799274</t>
  </si>
  <si>
    <t>415/20</t>
  </si>
  <si>
    <t>Adrian Kawooya Kabuye</t>
  </si>
  <si>
    <t>291/20</t>
  </si>
  <si>
    <t>Simon Kaggwa Njala</t>
  </si>
  <si>
    <t>Jimy Bamweyana</t>
  </si>
  <si>
    <t>1043100935978</t>
  </si>
  <si>
    <t>Abdallah Musoke</t>
  </si>
  <si>
    <t>1039101865273</t>
  </si>
  <si>
    <t>Eddie Mpiima</t>
  </si>
  <si>
    <t>227642200013</t>
  </si>
  <si>
    <t>Ahmad Kaliisa</t>
  </si>
  <si>
    <t>IT Officer</t>
  </si>
  <si>
    <t>440/20</t>
  </si>
  <si>
    <t>Ian Mutenda</t>
  </si>
  <si>
    <t>Host</t>
  </si>
  <si>
    <t>Stores Asst</t>
  </si>
  <si>
    <t>Irene Naava</t>
  </si>
  <si>
    <t>627/20</t>
  </si>
  <si>
    <t>Stuart Kimera</t>
  </si>
  <si>
    <t>Bertrand Tuyishimire</t>
  </si>
  <si>
    <t>01070012010516</t>
  </si>
  <si>
    <t>Nantume Justine</t>
  </si>
  <si>
    <t>980/20</t>
  </si>
  <si>
    <t>Nabukenya Aminah</t>
  </si>
  <si>
    <t>9030002020393</t>
  </si>
  <si>
    <t>Alaine Akankunda Alya</t>
  </si>
  <si>
    <t>151/20</t>
  </si>
  <si>
    <t>George Kakande</t>
  </si>
  <si>
    <t>Director live games</t>
  </si>
  <si>
    <t>David Nsubuga</t>
  </si>
  <si>
    <t>CTO</t>
  </si>
  <si>
    <t>Mildred Tracy Namugga</t>
  </si>
  <si>
    <t>Mayanja Anna Kyamulabi</t>
  </si>
  <si>
    <t>1040100778519</t>
  </si>
  <si>
    <t>721/20</t>
  </si>
  <si>
    <t>Head IT systems</t>
  </si>
  <si>
    <t>Showhost/Commentator</t>
  </si>
  <si>
    <t>Kungu Al Mahadi Adam</t>
  </si>
  <si>
    <t>1011100801992</t>
  </si>
  <si>
    <t>Sandra Nabiyiki</t>
  </si>
  <si>
    <t>1002101555323</t>
  </si>
  <si>
    <t>Head Innovation</t>
  </si>
  <si>
    <t>231/20</t>
  </si>
  <si>
    <t>Micheal Kigozi</t>
  </si>
  <si>
    <t>Hasifah Nabbanja</t>
  </si>
  <si>
    <t>28489105010121</t>
  </si>
  <si>
    <t>Sophia Kobusingye</t>
  </si>
  <si>
    <t>712/20</t>
  </si>
  <si>
    <t>Engineer</t>
  </si>
  <si>
    <t>Danuel Kalela</t>
  </si>
  <si>
    <t>3201682904</t>
  </si>
  <si>
    <t>Tebitendwa Aroisha Immaculate</t>
  </si>
  <si>
    <t>474/20</t>
  </si>
  <si>
    <t>Hillary Okiringi</t>
  </si>
  <si>
    <t>Vianney Nsimbe</t>
  </si>
  <si>
    <t>Fred Mutesa</t>
  </si>
  <si>
    <t>01033088886099</t>
  </si>
  <si>
    <t>Mark Makayu Anthony</t>
  </si>
  <si>
    <t>01063098618869</t>
  </si>
  <si>
    <t>Ass IT</t>
  </si>
  <si>
    <t>Jauharah Namayanja Kiiti</t>
  </si>
  <si>
    <t>Software Engineer</t>
  </si>
  <si>
    <t>Joshua Gasasira</t>
  </si>
  <si>
    <t>Innovations Officer</t>
  </si>
  <si>
    <t>Developer Engneer</t>
  </si>
  <si>
    <t>Mark Luwaga</t>
  </si>
  <si>
    <t>Muhammed Lulego Erias</t>
  </si>
  <si>
    <t>Head Outside Broadcast</t>
  </si>
  <si>
    <t>Field Sound Engineer</t>
  </si>
  <si>
    <t>Praise Lucky Opolot</t>
  </si>
  <si>
    <t>Alfred Ongee</t>
  </si>
  <si>
    <t>Philip Okalebo</t>
  </si>
  <si>
    <t>Technical Advisor</t>
  </si>
  <si>
    <t>Edirisa Nsubuga</t>
  </si>
  <si>
    <t>Allison Niwandinda</t>
  </si>
  <si>
    <t>Head of Broadcast engineering</t>
  </si>
  <si>
    <t>Bavis Nuwagaba</t>
  </si>
  <si>
    <t>Victoria Sinokuthula Joy Sibiya</t>
  </si>
  <si>
    <t>9030021877343</t>
  </si>
  <si>
    <t>Pius Fortune Buguzi</t>
  </si>
  <si>
    <t>9030021820341</t>
  </si>
  <si>
    <t>Birungi Dorah Auma</t>
  </si>
  <si>
    <t>9030025817558</t>
  </si>
  <si>
    <t>Nakyema Nulu</t>
  </si>
  <si>
    <t>1037101204467</t>
  </si>
  <si>
    <t>John Mary Womeleka</t>
  </si>
  <si>
    <t>3204590631</t>
  </si>
  <si>
    <t>Kimenyi Mukisa Casmir</t>
  </si>
  <si>
    <t>01981131024814</t>
  </si>
  <si>
    <t>Agaba Rinah</t>
  </si>
  <si>
    <t>3205114471</t>
  </si>
  <si>
    <t>Barbara Musinguzi</t>
  </si>
  <si>
    <t>Brand Designer</t>
  </si>
  <si>
    <t>Digital Executive</t>
  </si>
  <si>
    <t>Briton Busingye</t>
  </si>
  <si>
    <t>SM Digital Community</t>
  </si>
  <si>
    <t>Godfrey Didi Mutesasira</t>
  </si>
  <si>
    <t>Godfrey Nkurunziza</t>
  </si>
  <si>
    <t>Edrine Kamulya</t>
  </si>
  <si>
    <t>Producer/Cameraperson</t>
  </si>
  <si>
    <t>Nelson Bwire</t>
  </si>
  <si>
    <t>1041100422267</t>
  </si>
  <si>
    <t>Euguen Kavuma</t>
  </si>
  <si>
    <t>Muhammad Matovu</t>
  </si>
  <si>
    <t>9030016238189</t>
  </si>
  <si>
    <t>Geoffrey Mawejje</t>
  </si>
  <si>
    <t>Content Photographer</t>
  </si>
  <si>
    <t xml:space="preserve">Hanifah Nakiyemba </t>
  </si>
  <si>
    <t>Herman Mugambe</t>
  </si>
  <si>
    <t>Creative Designer</t>
  </si>
  <si>
    <t>Ian Niwamanya Nagumya</t>
  </si>
  <si>
    <t>Musa Kasozi</t>
  </si>
  <si>
    <t>9030026458551</t>
  </si>
  <si>
    <t>Johnson Arinitwe</t>
  </si>
  <si>
    <t>01670016733619</t>
  </si>
  <si>
    <t>Imam Sadiq</t>
  </si>
  <si>
    <t>Majidu Musisi</t>
  </si>
  <si>
    <t>1035100794903</t>
  </si>
  <si>
    <t>Grip</t>
  </si>
  <si>
    <t>Businge Rebecca Cynthia</t>
  </si>
  <si>
    <t>1004100864590</t>
  </si>
  <si>
    <t>Acram Lule</t>
  </si>
  <si>
    <t>Micheal Sabaavuma</t>
  </si>
  <si>
    <t>Muyingo Mustafa</t>
  </si>
  <si>
    <t>Isaac Claude Ndamagye</t>
  </si>
  <si>
    <t>Digital Community Officer</t>
  </si>
  <si>
    <t xml:space="preserve">James Sewaya </t>
  </si>
  <si>
    <t>Sub Editor</t>
  </si>
  <si>
    <t>Kevin Kaija Kyomuhendo</t>
  </si>
  <si>
    <t>Digital Officer</t>
  </si>
  <si>
    <t>Joy Mwangi</t>
  </si>
  <si>
    <t>CMO</t>
  </si>
  <si>
    <t>Larzrus Masaba</t>
  </si>
  <si>
    <t>7255003687</t>
  </si>
  <si>
    <t>Linoes Ayesigye</t>
  </si>
  <si>
    <t>Shafik Nekambuza</t>
  </si>
  <si>
    <t>Lucy Lawino</t>
  </si>
  <si>
    <t>9030015161948</t>
  </si>
  <si>
    <t>Digital Community Manager</t>
  </si>
  <si>
    <t>MASTER CARD</t>
  </si>
  <si>
    <t>Nassaka Joweria Leah</t>
  </si>
  <si>
    <t>Wages</t>
  </si>
  <si>
    <t>Patrick Tendo</t>
  </si>
  <si>
    <t>Digial Officer</t>
  </si>
  <si>
    <t>Teddy Namugga</t>
  </si>
  <si>
    <t>3203635626</t>
  </si>
  <si>
    <t>Security</t>
  </si>
  <si>
    <t>Fahad Jjuju</t>
  </si>
  <si>
    <t>Ivan Mweru</t>
  </si>
  <si>
    <t>Head of Digital sales</t>
  </si>
  <si>
    <t>Independent</t>
  </si>
  <si>
    <t>Emmanuel Ekochu</t>
  </si>
  <si>
    <t>Stanely Odong</t>
  </si>
  <si>
    <t>Tracy Ikopit</t>
  </si>
  <si>
    <t>Brand Executive</t>
  </si>
  <si>
    <t>Arthur Bogele</t>
  </si>
  <si>
    <t>Brian Ssemanda</t>
  </si>
  <si>
    <t>Brian Waako</t>
  </si>
  <si>
    <t>Carren Naiga</t>
  </si>
  <si>
    <t>Head of Sales</t>
  </si>
  <si>
    <t>Endrine Kamulya</t>
  </si>
  <si>
    <t>Fahad Sebagala</t>
  </si>
  <si>
    <t xml:space="preserve">Faisal Mulinde </t>
  </si>
  <si>
    <t>Jonathan Ssemanda</t>
  </si>
  <si>
    <t>Imam Sadiq Taremwa</t>
  </si>
  <si>
    <t>Bertha Okori Nkuzi</t>
  </si>
  <si>
    <t>Audio Producer</t>
  </si>
  <si>
    <t>Kathren Tusiime</t>
  </si>
  <si>
    <t>Linda Nduwumwani</t>
  </si>
  <si>
    <t>Jovia Nalunkuma</t>
  </si>
  <si>
    <t>CRM</t>
  </si>
  <si>
    <t>Studi Manager</t>
  </si>
  <si>
    <t>Patience Aloyo</t>
  </si>
  <si>
    <t>Ronnie Musimenta</t>
  </si>
  <si>
    <t>SM Youth Products TV</t>
  </si>
  <si>
    <t>Client Acquisition Manager</t>
  </si>
  <si>
    <t>Zulaika Nichole</t>
  </si>
  <si>
    <t>Jacobs Seaman Odongo</t>
  </si>
  <si>
    <t>Nilepost Editor</t>
  </si>
  <si>
    <t>Writer</t>
  </si>
  <si>
    <t>Nilepost Sub Editor</t>
  </si>
  <si>
    <t>Salam</t>
  </si>
  <si>
    <t>AbdulSalam Kinobe</t>
  </si>
  <si>
    <t>Haji Karim Kaliisa</t>
  </si>
  <si>
    <t>Managing Director</t>
  </si>
  <si>
    <t>Ibrahim Bagalaliwo</t>
  </si>
  <si>
    <t>Producer/Show Host</t>
  </si>
  <si>
    <t>Jamil Kayiga</t>
  </si>
  <si>
    <t>Video Editor/ Cameraperson</t>
  </si>
  <si>
    <t>Operations Officer</t>
  </si>
  <si>
    <t>Transimission</t>
  </si>
  <si>
    <t>Programs manager</t>
  </si>
  <si>
    <t>Umar Kikaaye</t>
  </si>
  <si>
    <t>Adrian Kawooya</t>
  </si>
  <si>
    <t xml:space="preserve">Producer </t>
  </si>
  <si>
    <t>Yusuf Sekimwanyi</t>
  </si>
  <si>
    <t>Alfa Hussesin Jingo</t>
  </si>
  <si>
    <t>Show Host/SPM</t>
  </si>
  <si>
    <t>Uncut Reporte</t>
  </si>
  <si>
    <t>Uncut Reporter</t>
  </si>
  <si>
    <t>Anthony Waiswa</t>
  </si>
  <si>
    <t>SM BS NPL</t>
  </si>
  <si>
    <t>DCP</t>
  </si>
  <si>
    <t>Diane Nabimanya</t>
  </si>
  <si>
    <t>SM EVENTS</t>
  </si>
  <si>
    <t>Head of Commercial Production</t>
  </si>
  <si>
    <t>GM,Content</t>
  </si>
  <si>
    <t>Titi Kankunda</t>
  </si>
  <si>
    <t>Osbourne Mwambari</t>
  </si>
  <si>
    <t>SM BS Radios</t>
  </si>
  <si>
    <t>INDEPENDENT CONTRACTORS</t>
  </si>
  <si>
    <t>Noor Mbaziira</t>
  </si>
  <si>
    <t>Adam Kungu</t>
  </si>
  <si>
    <t>show Host</t>
  </si>
  <si>
    <t>Aliya Alaine</t>
  </si>
  <si>
    <t>Aminah Nabukenya</t>
  </si>
  <si>
    <t>Anne Mayanja</t>
  </si>
  <si>
    <t>Fred Muteesa</t>
  </si>
  <si>
    <t>Hasifah Nabanja</t>
  </si>
  <si>
    <t>Immaculate Aroisha Tebitendwa</t>
  </si>
  <si>
    <t>Justine Nantume</t>
  </si>
  <si>
    <t>Makayu Mark Anthony</t>
  </si>
  <si>
    <t>Tracy Mildred Namugga</t>
  </si>
  <si>
    <t>Studio Manager</t>
  </si>
  <si>
    <t>Prince Mayanja</t>
  </si>
  <si>
    <t>INDEPENDENT</t>
  </si>
  <si>
    <t>510/20</t>
  </si>
  <si>
    <t>Casmir Kimenyi</t>
  </si>
  <si>
    <t>super kilaka</t>
  </si>
  <si>
    <t>Dorah Birungi</t>
  </si>
  <si>
    <t>Idris Nsubuga</t>
  </si>
  <si>
    <t>John Womeleka</t>
  </si>
  <si>
    <t>DJ</t>
  </si>
  <si>
    <t>Pius Buguzi</t>
  </si>
  <si>
    <t>Ratifah Sekyema Kabarungi</t>
  </si>
  <si>
    <t>show host</t>
  </si>
  <si>
    <t>Victoria Sibiya</t>
  </si>
  <si>
    <t>Client Acquisition Officer</t>
  </si>
  <si>
    <t>Jacobs Odong Seaman</t>
  </si>
  <si>
    <t>Reporter/Editor</t>
  </si>
  <si>
    <t>INDEPENDENT CONTRACTOR</t>
  </si>
  <si>
    <t>Sub Editor - epaper</t>
  </si>
  <si>
    <t>Show host/Producer</t>
  </si>
  <si>
    <t>Video Editor/Cameraperson</t>
  </si>
  <si>
    <t>Transmission Opeartor</t>
  </si>
  <si>
    <t>Lule Acram</t>
  </si>
  <si>
    <t>Master Control</t>
  </si>
  <si>
    <t>Majid Musisi</t>
  </si>
  <si>
    <t>SM Business Strategy</t>
  </si>
  <si>
    <t>Mariam Businge</t>
  </si>
  <si>
    <t>Mustapha Muyingo</t>
  </si>
  <si>
    <t>Arabic Translator</t>
  </si>
  <si>
    <t>Dian Nabimanya</t>
  </si>
  <si>
    <t>Kevin Kaija</t>
  </si>
  <si>
    <t>Gm</t>
  </si>
  <si>
    <t>Voice Artist</t>
  </si>
  <si>
    <t>248/20</t>
  </si>
  <si>
    <t>Ian Nuwamanya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</si>
</sst>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"/>
    <numFmt numFmtId="165" formatCode="0;[Red]0"/>
    <numFmt numFmtId="166" formatCode="[$$-409]#,##0.00"/>
    <numFmt numFmtId="167" formatCode="_(* #,##0_);_(* \(#,##0\);_(* &quot;-&quot;??_);_(@_)"/>
    <numFmt numFmtId="168" formatCode="_-* #,##0_-;\-* #,##0_-;_-* \-??_-;_-@"/>
    <numFmt numFmtId="169" formatCode="_(* #,##0.0_);_(* \(#,##0.0\);_(* &quot;-&quot;_);_(@_)"/>
  </numFmts>
  <fonts count="19" x14ac:knownFonts="1">
    <font>
      <sz val="11"/>
      <color theme="1"/>
      <name val="Calibri"/>
      <scheme val="minor"/>
    </font>
    <font>
      <sz val="11"/>
      <color theme="1"/>
      <name val="Arial"/>
    </font>
    <font>
      <b/>
      <sz val="10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b/>
      <sz val="12"/>
      <color theme="1"/>
      <name val="Arial"/>
    </font>
    <font>
      <sz val="11"/>
      <color theme="1"/>
      <name val="Calibri"/>
    </font>
    <font>
      <sz val="12"/>
      <color theme="1"/>
      <name val="Arial"/>
    </font>
    <font>
      <b/>
      <sz val="11"/>
      <color theme="1"/>
      <name val="Calibri"/>
    </font>
    <font>
      <sz val="12"/>
      <color rgb="FF2F5496"/>
      <name val="Arial"/>
    </font>
    <font>
      <sz val="10"/>
      <color theme="1"/>
      <name val="Arial"/>
    </font>
    <font>
      <sz val="12"/>
      <color rgb="FF000000"/>
      <name val="Arial"/>
    </font>
    <font>
      <sz val="9"/>
      <color theme="1"/>
      <name val="Arial"/>
    </font>
    <font>
      <sz val="10"/>
      <color theme="1"/>
      <name val="Calibri"/>
    </font>
    <font>
      <b/>
      <sz val="10"/>
      <color theme="1"/>
      <name val="Calibri"/>
    </font>
    <font>
      <b/>
      <sz val="11"/>
      <color rgb="FF000000"/>
      <name val="Arial"/>
    </font>
    <font>
      <sz val="11"/>
      <color theme="1"/>
      <name val="Cambria"/>
    </font>
    <font>
      <b/>
      <sz val="12"/>
      <color rgb="FF2F5496"/>
      <name val="Arial"/>
    </font>
    <font>
      <b/>
      <sz val="12"/>
      <color rgb="FF000000"/>
      <name val="Arial"/>
    </font>
  </fonts>
  <fills count="2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55A11"/>
        <bgColor rgb="FFC55A11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CF305"/>
        <bgColor rgb="FFFCF305"/>
      </patternFill>
    </fill>
    <fill>
      <patternFill patternType="solid">
        <fgColor rgb="FFBFBFBF"/>
        <bgColor rgb="FFBFBFBF"/>
      </patternFill>
    </fill>
    <fill>
      <patternFill patternType="solid">
        <fgColor rgb="FF666633"/>
        <bgColor rgb="FF666633"/>
      </patternFill>
    </fill>
    <fill>
      <patternFill patternType="solid">
        <fgColor rgb="FFC4BD97"/>
        <bgColor rgb="FFC4BD97"/>
      </patternFill>
    </fill>
    <fill>
      <patternFill patternType="solid">
        <fgColor rgb="FFA8D08D"/>
        <bgColor rgb="FFA8D08D"/>
      </patternFill>
    </fill>
    <fill>
      <patternFill patternType="solid">
        <fgColor rgb="FF00B0F0"/>
        <bgColor rgb="FF00B0F0"/>
      </patternFill>
    </fill>
    <fill>
      <patternFill patternType="solid">
        <fgColor theme="9"/>
        <bgColor theme="9"/>
      </patternFill>
    </fill>
    <fill>
      <patternFill patternType="solid">
        <fgColor rgb="FFD0CECE"/>
        <bgColor rgb="FFD0CECE"/>
      </patternFill>
    </fill>
    <fill>
      <patternFill patternType="solid">
        <fgColor rgb="FFA5A5A5"/>
        <bgColor rgb="FFA5A5A5"/>
      </patternFill>
    </fill>
    <fill>
      <patternFill patternType="solid">
        <fgColor rgb="FFAEABAB"/>
        <bgColor rgb="FFAEABAB"/>
      </patternFill>
    </fill>
    <fill>
      <patternFill patternType="solid">
        <fgColor rgb="FFFBE4D5"/>
        <bgColor rgb="FFFBE4D5"/>
      </patternFill>
    </fill>
    <fill>
      <patternFill patternType="solid">
        <fgColor rgb="FFDADADA"/>
        <bgColor rgb="FFDADADA"/>
      </patternFill>
    </fill>
    <fill>
      <patternFill patternType="solid">
        <fgColor rgb="FF92D050"/>
        <bgColor rgb="FF92D050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0">
    <xf numFmtId="0" fontId="0" fillId="0" borderId="0" xfId="0" applyFont="1" applyAlignment="1"/>
    <xf numFmtId="0" fontId="1" fillId="0" borderId="1" xfId="0" applyFont="1" applyBorder="1"/>
    <xf numFmtId="0" fontId="2" fillId="2" borderId="2" xfId="0" applyFont="1" applyFill="1" applyBorder="1"/>
    <xf numFmtId="0" fontId="3" fillId="2" borderId="1" xfId="0" applyFont="1" applyFill="1" applyBorder="1"/>
    <xf numFmtId="0" fontId="4" fillId="0" borderId="3" xfId="0" applyFont="1" applyBorder="1"/>
    <xf numFmtId="0" fontId="5" fillId="0" borderId="1" xfId="0" applyFont="1" applyBorder="1"/>
    <xf numFmtId="164" fontId="1" fillId="0" borderId="1" xfId="0" applyNumberFormat="1" applyFont="1" applyBorder="1"/>
    <xf numFmtId="0" fontId="3" fillId="0" borderId="4" xfId="0" applyFont="1" applyBorder="1"/>
    <xf numFmtId="164" fontId="6" fillId="0" borderId="0" xfId="0" applyNumberFormat="1" applyFont="1"/>
    <xf numFmtId="0" fontId="5" fillId="0" borderId="1" xfId="0" applyFont="1" applyBorder="1" applyAlignment="1">
      <alignment horizontal="left" vertical="top"/>
    </xf>
    <xf numFmtId="0" fontId="1" fillId="0" borderId="0" xfId="0" applyFont="1"/>
    <xf numFmtId="0" fontId="7" fillId="0" borderId="1" xfId="0" applyFont="1" applyBorder="1"/>
    <xf numFmtId="0" fontId="1" fillId="0" borderId="4" xfId="0" applyFont="1" applyBorder="1"/>
    <xf numFmtId="0" fontId="8" fillId="0" borderId="1" xfId="0" applyFont="1" applyBorder="1"/>
    <xf numFmtId="164" fontId="7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4" fillId="0" borderId="4" xfId="0" applyNumberFormat="1" applyFont="1" applyBorder="1"/>
    <xf numFmtId="164" fontId="3" fillId="0" borderId="1" xfId="0" applyNumberFormat="1" applyFont="1" applyBorder="1" applyAlignment="1">
      <alignment horizontal="right"/>
    </xf>
    <xf numFmtId="0" fontId="2" fillId="0" borderId="1" xfId="0" applyFont="1" applyBorder="1"/>
    <xf numFmtId="164" fontId="8" fillId="0" borderId="1" xfId="0" applyNumberFormat="1" applyFont="1" applyBorder="1"/>
    <xf numFmtId="0" fontId="4" fillId="0" borderId="5" xfId="0" applyFont="1" applyBorder="1"/>
    <xf numFmtId="0" fontId="1" fillId="0" borderId="1" xfId="0" applyFont="1" applyBorder="1" applyAlignment="1">
      <alignment horizontal="center"/>
    </xf>
    <xf numFmtId="0" fontId="4" fillId="0" borderId="6" xfId="0" applyFont="1" applyBorder="1"/>
    <xf numFmtId="0" fontId="4" fillId="0" borderId="1" xfId="0" applyFont="1" applyBorder="1"/>
    <xf numFmtId="0" fontId="4" fillId="0" borderId="0" xfId="0" applyFont="1"/>
    <xf numFmtId="0" fontId="4" fillId="0" borderId="7" xfId="0" applyFont="1" applyBorder="1"/>
    <xf numFmtId="0" fontId="3" fillId="0" borderId="1" xfId="0" applyFont="1" applyBorder="1"/>
    <xf numFmtId="0" fontId="9" fillId="0" borderId="1" xfId="0" applyFont="1" applyBorder="1"/>
    <xf numFmtId="0" fontId="6" fillId="0" borderId="1" xfId="0" applyFont="1" applyBorder="1"/>
    <xf numFmtId="164" fontId="4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4" fillId="0" borderId="8" xfId="0" applyFont="1" applyBorder="1"/>
    <xf numFmtId="0" fontId="7" fillId="0" borderId="0" xfId="0" applyFont="1"/>
    <xf numFmtId="165" fontId="1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10" fillId="0" borderId="1" xfId="0" applyFont="1" applyBorder="1"/>
    <xf numFmtId="165" fontId="10" fillId="0" borderId="1" xfId="0" applyNumberFormat="1" applyFont="1" applyBorder="1" applyAlignment="1">
      <alignment horizontal="left"/>
    </xf>
    <xf numFmtId="43" fontId="1" fillId="0" borderId="1" xfId="0" applyNumberFormat="1" applyFont="1" applyBorder="1"/>
    <xf numFmtId="164" fontId="7" fillId="0" borderId="1" xfId="0" applyNumberFormat="1" applyFont="1" applyBorder="1" applyAlignment="1">
      <alignment horizontal="center"/>
    </xf>
    <xf numFmtId="164" fontId="6" fillId="0" borderId="1" xfId="0" applyNumberFormat="1" applyFont="1" applyBorder="1"/>
    <xf numFmtId="1" fontId="10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1" fillId="0" borderId="7" xfId="0" applyFont="1" applyBorder="1"/>
    <xf numFmtId="166" fontId="3" fillId="0" borderId="1" xfId="0" applyNumberFormat="1" applyFont="1" applyBorder="1"/>
    <xf numFmtId="166" fontId="3" fillId="0" borderId="1" xfId="0" applyNumberFormat="1" applyFont="1" applyBorder="1" applyAlignment="1">
      <alignment horizontal="center"/>
    </xf>
    <xf numFmtId="0" fontId="1" fillId="0" borderId="9" xfId="0" applyFont="1" applyBorder="1"/>
    <xf numFmtId="0" fontId="7" fillId="0" borderId="9" xfId="0" applyFont="1" applyBorder="1"/>
    <xf numFmtId="166" fontId="3" fillId="0" borderId="9" xfId="0" applyNumberFormat="1" applyFont="1" applyBorder="1" applyAlignment="1">
      <alignment horizontal="center"/>
    </xf>
    <xf numFmtId="166" fontId="5" fillId="0" borderId="9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7" fillId="0" borderId="9" xfId="0" applyNumberFormat="1" applyFont="1" applyBorder="1"/>
    <xf numFmtId="164" fontId="4" fillId="0" borderId="9" xfId="0" applyNumberFormat="1" applyFont="1" applyBorder="1"/>
    <xf numFmtId="0" fontId="4" fillId="0" borderId="10" xfId="0" applyFont="1" applyBorder="1"/>
    <xf numFmtId="166" fontId="5" fillId="0" borderId="9" xfId="0" applyNumberFormat="1" applyFont="1" applyBorder="1" applyAlignment="1">
      <alignment horizontal="center"/>
    </xf>
    <xf numFmtId="0" fontId="9" fillId="0" borderId="9" xfId="0" applyFont="1" applyBorder="1"/>
    <xf numFmtId="0" fontId="3" fillId="0" borderId="11" xfId="0" applyFont="1" applyBorder="1"/>
    <xf numFmtId="0" fontId="3" fillId="0" borderId="3" xfId="0" applyFont="1" applyBorder="1"/>
    <xf numFmtId="166" fontId="3" fillId="0" borderId="4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 wrapText="1"/>
    </xf>
    <xf numFmtId="164" fontId="3" fillId="0" borderId="4" xfId="0" applyNumberFormat="1" applyFont="1" applyBorder="1" applyAlignment="1">
      <alignment horizontal="center"/>
    </xf>
    <xf numFmtId="0" fontId="9" fillId="0" borderId="6" xfId="0" applyFont="1" applyBorder="1"/>
    <xf numFmtId="166" fontId="3" fillId="0" borderId="5" xfId="0" applyNumberFormat="1" applyFont="1" applyBorder="1" applyAlignment="1">
      <alignment horizontal="center"/>
    </xf>
    <xf numFmtId="0" fontId="7" fillId="0" borderId="3" xfId="0" applyFont="1" applyBorder="1"/>
    <xf numFmtId="0" fontId="5" fillId="0" borderId="4" xfId="0" applyFont="1" applyBorder="1" applyAlignment="1">
      <alignment vertical="top"/>
    </xf>
    <xf numFmtId="0" fontId="1" fillId="3" borderId="12" xfId="0" applyFont="1" applyFill="1" applyBorder="1"/>
    <xf numFmtId="0" fontId="5" fillId="0" borderId="4" xfId="0" applyFont="1" applyBorder="1"/>
    <xf numFmtId="0" fontId="3" fillId="3" borderId="13" xfId="0" applyFont="1" applyFill="1" applyBorder="1"/>
    <xf numFmtId="166" fontId="5" fillId="0" borderId="4" xfId="0" applyNumberFormat="1" applyFont="1" applyBorder="1" applyAlignment="1">
      <alignment horizontal="center" wrapText="1"/>
    </xf>
    <xf numFmtId="0" fontId="3" fillId="3" borderId="14" xfId="0" applyFont="1" applyFill="1" applyBorder="1"/>
    <xf numFmtId="166" fontId="3" fillId="3" borderId="14" xfId="0" applyNumberFormat="1" applyFont="1" applyFill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 wrapText="1"/>
    </xf>
    <xf numFmtId="0" fontId="12" fillId="0" borderId="1" xfId="0" applyFont="1" applyBorder="1"/>
    <xf numFmtId="164" fontId="3" fillId="3" borderId="2" xfId="0" applyNumberFormat="1" applyFont="1" applyFill="1" applyBorder="1" applyAlignment="1">
      <alignment horizontal="center" wrapText="1"/>
    </xf>
    <xf numFmtId="164" fontId="3" fillId="3" borderId="2" xfId="0" applyNumberFormat="1" applyFont="1" applyFill="1" applyBorder="1" applyAlignment="1">
      <alignment horizontal="center"/>
    </xf>
    <xf numFmtId="166" fontId="5" fillId="0" borderId="5" xfId="0" applyNumberFormat="1" applyFont="1" applyBorder="1" applyAlignment="1">
      <alignment horizontal="center" wrapText="1"/>
    </xf>
    <xf numFmtId="166" fontId="3" fillId="3" borderId="15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" fillId="0" borderId="11" xfId="0" applyFont="1" applyBorder="1"/>
    <xf numFmtId="167" fontId="1" fillId="0" borderId="1" xfId="0" applyNumberFormat="1" applyFont="1" applyBorder="1"/>
    <xf numFmtId="1" fontId="12" fillId="0" borderId="1" xfId="0" applyNumberFormat="1" applyFont="1" applyBorder="1" applyAlignment="1">
      <alignment horizontal="left"/>
    </xf>
    <xf numFmtId="41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/>
    <xf numFmtId="0" fontId="7" fillId="0" borderId="7" xfId="0" applyFont="1" applyBorder="1"/>
    <xf numFmtId="41" fontId="7" fillId="0" borderId="1" xfId="0" applyNumberFormat="1" applyFont="1" applyBorder="1" applyAlignment="1">
      <alignment horizontal="center"/>
    </xf>
    <xf numFmtId="164" fontId="7" fillId="4" borderId="1" xfId="0" applyNumberFormat="1" applyFont="1" applyFill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8" fontId="1" fillId="0" borderId="1" xfId="0" applyNumberFormat="1" applyFont="1" applyBorder="1" applyAlignment="1">
      <alignment horizontal="center"/>
    </xf>
    <xf numFmtId="41" fontId="4" fillId="0" borderId="8" xfId="0" applyNumberFormat="1" applyFont="1" applyBorder="1"/>
    <xf numFmtId="167" fontId="7" fillId="0" borderId="8" xfId="0" applyNumberFormat="1" applyFont="1" applyBorder="1"/>
    <xf numFmtId="168" fontId="4" fillId="0" borderId="6" xfId="0" applyNumberFormat="1" applyFont="1" applyBorder="1"/>
    <xf numFmtId="41" fontId="9" fillId="0" borderId="6" xfId="0" applyNumberFormat="1" applyFont="1" applyBorder="1"/>
    <xf numFmtId="168" fontId="4" fillId="0" borderId="1" xfId="0" applyNumberFormat="1" applyFont="1" applyBorder="1"/>
    <xf numFmtId="0" fontId="1" fillId="0" borderId="7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41" fontId="1" fillId="5" borderId="1" xfId="0" applyNumberFormat="1" applyFont="1" applyFill="1" applyBorder="1"/>
    <xf numFmtId="0" fontId="7" fillId="0" borderId="1" xfId="0" applyFont="1" applyBorder="1" applyAlignment="1">
      <alignment horizontal="left"/>
    </xf>
    <xf numFmtId="164" fontId="4" fillId="5" borderId="1" xfId="0" applyNumberFormat="1" applyFont="1" applyFill="1" applyBorder="1"/>
    <xf numFmtId="0" fontId="10" fillId="6" borderId="1" xfId="0" applyFont="1" applyFill="1" applyBorder="1" applyAlignment="1">
      <alignment horizontal="left"/>
    </xf>
    <xf numFmtId="41" fontId="10" fillId="6" borderId="1" xfId="0" applyNumberFormat="1" applyFont="1" applyFill="1" applyBorder="1"/>
    <xf numFmtId="41" fontId="1" fillId="0" borderId="1" xfId="0" applyNumberFormat="1" applyFont="1" applyBorder="1"/>
    <xf numFmtId="41" fontId="1" fillId="5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168" fontId="3" fillId="0" borderId="1" xfId="0" applyNumberFormat="1" applyFont="1" applyBorder="1" applyAlignment="1">
      <alignment horizontal="center"/>
    </xf>
    <xf numFmtId="41" fontId="1" fillId="6" borderId="1" xfId="0" applyNumberFormat="1" applyFont="1" applyFill="1" applyBorder="1"/>
    <xf numFmtId="0" fontId="12" fillId="6" borderId="1" xfId="0" applyFont="1" applyFill="1" applyBorder="1" applyAlignment="1">
      <alignment horizontal="left"/>
    </xf>
    <xf numFmtId="41" fontId="12" fillId="0" borderId="1" xfId="0" applyNumberFormat="1" applyFont="1" applyBorder="1"/>
    <xf numFmtId="0" fontId="1" fillId="0" borderId="7" xfId="0" applyFont="1" applyBorder="1" applyAlignment="1">
      <alignment horizontal="left"/>
    </xf>
    <xf numFmtId="0" fontId="10" fillId="0" borderId="1" xfId="0" quotePrefix="1" applyFont="1" applyBorder="1"/>
    <xf numFmtId="1" fontId="10" fillId="0" borderId="1" xfId="0" quotePrefix="1" applyNumberFormat="1" applyFont="1" applyBorder="1" applyAlignment="1">
      <alignment horizontal="left"/>
    </xf>
    <xf numFmtId="41" fontId="10" fillId="0" borderId="1" xfId="0" applyNumberFormat="1" applyFont="1" applyBorder="1" applyAlignment="1">
      <alignment horizontal="left"/>
    </xf>
    <xf numFmtId="168" fontId="1" fillId="5" borderId="1" xfId="0" applyNumberFormat="1" applyFont="1" applyFill="1" applyBorder="1" applyAlignment="1">
      <alignment horizontal="center"/>
    </xf>
    <xf numFmtId="41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center"/>
    </xf>
    <xf numFmtId="164" fontId="4" fillId="4" borderId="1" xfId="0" applyNumberFormat="1" applyFont="1" applyFill="1" applyBorder="1"/>
    <xf numFmtId="164" fontId="7" fillId="4" borderId="1" xfId="0" applyNumberFormat="1" applyFont="1" applyFill="1" applyBorder="1"/>
    <xf numFmtId="0" fontId="1" fillId="0" borderId="1" xfId="0" applyFont="1" applyBorder="1" applyAlignment="1">
      <alignment horizontal="left" vertical="top"/>
    </xf>
    <xf numFmtId="41" fontId="7" fillId="0" borderId="1" xfId="0" applyNumberFormat="1" applyFont="1" applyBorder="1"/>
    <xf numFmtId="164" fontId="7" fillId="0" borderId="1" xfId="0" applyNumberFormat="1" applyFont="1" applyBorder="1" applyAlignment="1">
      <alignment wrapText="1"/>
    </xf>
    <xf numFmtId="0" fontId="10" fillId="0" borderId="1" xfId="0" quotePrefix="1" applyFont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0" fontId="10" fillId="6" borderId="1" xfId="0" quotePrefix="1" applyFont="1" applyFill="1" applyBorder="1" applyAlignment="1">
      <alignment horizontal="left"/>
    </xf>
    <xf numFmtId="37" fontId="1" fillId="0" borderId="1" xfId="0" applyNumberFormat="1" applyFont="1" applyBorder="1" applyAlignment="1">
      <alignment horizontal="left"/>
    </xf>
    <xf numFmtId="168" fontId="3" fillId="5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wrapText="1"/>
    </xf>
    <xf numFmtId="164" fontId="7" fillId="4" borderId="1" xfId="0" applyNumberFormat="1" applyFont="1" applyFill="1" applyBorder="1" applyAlignment="1">
      <alignment horizontal="right" wrapText="1"/>
    </xf>
    <xf numFmtId="164" fontId="7" fillId="4" borderId="1" xfId="0" applyNumberFormat="1" applyFont="1" applyFill="1" applyBorder="1" applyAlignment="1">
      <alignment vertical="top" wrapText="1"/>
    </xf>
    <xf numFmtId="41" fontId="1" fillId="0" borderId="7" xfId="0" applyNumberFormat="1" applyFont="1" applyBorder="1"/>
    <xf numFmtId="164" fontId="7" fillId="0" borderId="1" xfId="0" applyNumberFormat="1" applyFont="1" applyBorder="1" applyAlignment="1">
      <alignment horizontal="right" wrapText="1"/>
    </xf>
    <xf numFmtId="0" fontId="12" fillId="6" borderId="1" xfId="0" applyFont="1" applyFill="1" applyBorder="1"/>
    <xf numFmtId="0" fontId="12" fillId="0" borderId="1" xfId="0" quotePrefix="1" applyFont="1" applyBorder="1"/>
    <xf numFmtId="167" fontId="1" fillId="0" borderId="1" xfId="0" applyNumberFormat="1" applyFont="1" applyBorder="1" applyAlignment="1">
      <alignment horizontal="left"/>
    </xf>
    <xf numFmtId="164" fontId="5" fillId="0" borderId="1" xfId="0" applyNumberFormat="1" applyFont="1" applyBorder="1" applyAlignment="1">
      <alignment horizontal="center"/>
    </xf>
    <xf numFmtId="41" fontId="7" fillId="0" borderId="1" xfId="0" applyNumberFormat="1" applyFont="1" applyBorder="1" applyAlignment="1">
      <alignment horizontal="left" vertical="top"/>
    </xf>
    <xf numFmtId="41" fontId="7" fillId="0" borderId="0" xfId="0" applyNumberFormat="1" applyFont="1"/>
    <xf numFmtId="164" fontId="7" fillId="4" borderId="1" xfId="0" applyNumberFormat="1" applyFont="1" applyFill="1" applyBorder="1" applyAlignment="1">
      <alignment wrapText="1"/>
    </xf>
    <xf numFmtId="0" fontId="1" fillId="0" borderId="1" xfId="0" applyFont="1" applyBorder="1" applyAlignment="1">
      <alignment vertical="top"/>
    </xf>
    <xf numFmtId="167" fontId="1" fillId="0" borderId="1" xfId="0" applyNumberFormat="1" applyFont="1" applyBorder="1" applyAlignment="1">
      <alignment vertical="top"/>
    </xf>
    <xf numFmtId="167" fontId="1" fillId="5" borderId="1" xfId="0" applyNumberFormat="1" applyFont="1" applyFill="1" applyBorder="1" applyAlignment="1">
      <alignment horizontal="right"/>
    </xf>
    <xf numFmtId="1" fontId="1" fillId="0" borderId="1" xfId="0" quotePrefix="1" applyNumberFormat="1" applyFont="1" applyBorder="1" applyAlignment="1">
      <alignment horizontal="left"/>
    </xf>
    <xf numFmtId="164" fontId="7" fillId="0" borderId="9" xfId="0" applyNumberFormat="1" applyFont="1" applyBorder="1" applyAlignment="1">
      <alignment horizontal="center"/>
    </xf>
    <xf numFmtId="164" fontId="7" fillId="0" borderId="16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0" fontId="1" fillId="5" borderId="1" xfId="0" applyFont="1" applyFill="1" applyBorder="1"/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vertical="top" wrapText="1"/>
    </xf>
    <xf numFmtId="164" fontId="7" fillId="0" borderId="6" xfId="0" applyNumberFormat="1" applyFont="1" applyBorder="1" applyAlignment="1">
      <alignment horizontal="center"/>
    </xf>
    <xf numFmtId="164" fontId="7" fillId="4" borderId="17" xfId="0" applyNumberFormat="1" applyFont="1" applyFill="1" applyBorder="1" applyAlignment="1">
      <alignment horizontal="center"/>
    </xf>
    <xf numFmtId="164" fontId="7" fillId="4" borderId="18" xfId="0" applyNumberFormat="1" applyFont="1" applyFill="1" applyBorder="1" applyAlignment="1">
      <alignment horizontal="center"/>
    </xf>
    <xf numFmtId="41" fontId="12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12" fillId="0" borderId="1" xfId="0" quotePrefix="1" applyFont="1" applyBorder="1" applyAlignment="1">
      <alignment horizontal="left"/>
    </xf>
    <xf numFmtId="164" fontId="7" fillId="0" borderId="16" xfId="0" applyNumberFormat="1" applyFont="1" applyBorder="1"/>
    <xf numFmtId="164" fontId="7" fillId="0" borderId="6" xfId="0" applyNumberFormat="1" applyFont="1" applyBorder="1"/>
    <xf numFmtId="41" fontId="1" fillId="0" borderId="1" xfId="0" applyNumberFormat="1" applyFont="1" applyBorder="1" applyAlignment="1">
      <alignment vertical="top"/>
    </xf>
    <xf numFmtId="164" fontId="7" fillId="0" borderId="19" xfId="0" applyNumberFormat="1" applyFont="1" applyBorder="1" applyAlignment="1">
      <alignment horizontal="center"/>
    </xf>
    <xf numFmtId="167" fontId="1" fillId="5" borderId="1" xfId="0" applyNumberFormat="1" applyFont="1" applyFill="1" applyBorder="1" applyAlignment="1">
      <alignment vertical="top"/>
    </xf>
    <xf numFmtId="3" fontId="10" fillId="0" borderId="1" xfId="0" applyNumberFormat="1" applyFont="1" applyBorder="1"/>
    <xf numFmtId="0" fontId="6" fillId="0" borderId="20" xfId="0" applyFont="1" applyBorder="1"/>
    <xf numFmtId="0" fontId="1" fillId="0" borderId="1" xfId="0" quotePrefix="1" applyFont="1" applyBorder="1"/>
    <xf numFmtId="0" fontId="10" fillId="0" borderId="6" xfId="0" applyFont="1" applyBorder="1"/>
    <xf numFmtId="164" fontId="6" fillId="0" borderId="20" xfId="0" applyNumberFormat="1" applyFont="1" applyBorder="1"/>
    <xf numFmtId="0" fontId="10" fillId="0" borderId="21" xfId="0" applyFont="1" applyBorder="1"/>
    <xf numFmtId="0" fontId="10" fillId="0" borderId="20" xfId="0" quotePrefix="1" applyFont="1" applyBorder="1" applyAlignment="1">
      <alignment horizontal="left"/>
    </xf>
    <xf numFmtId="1" fontId="10" fillId="0" borderId="20" xfId="0" quotePrefix="1" applyNumberFormat="1" applyFont="1" applyBorder="1" applyAlignment="1">
      <alignment horizontal="left"/>
    </xf>
    <xf numFmtId="0" fontId="8" fillId="0" borderId="22" xfId="0" applyFont="1" applyBorder="1"/>
    <xf numFmtId="0" fontId="2" fillId="0" borderId="23" xfId="0" applyFont="1" applyBorder="1"/>
    <xf numFmtId="164" fontId="8" fillId="0" borderId="22" xfId="0" applyNumberFormat="1" applyFont="1" applyBorder="1"/>
    <xf numFmtId="167" fontId="10" fillId="0" borderId="1" xfId="0" applyNumberFormat="1" applyFont="1" applyBorder="1"/>
    <xf numFmtId="164" fontId="7" fillId="5" borderId="1" xfId="0" applyNumberFormat="1" applyFont="1" applyFill="1" applyBorder="1" applyAlignment="1">
      <alignment horizontal="center"/>
    </xf>
    <xf numFmtId="1" fontId="12" fillId="0" borderId="1" xfId="0" quotePrefix="1" applyNumberFormat="1" applyFont="1" applyBorder="1" applyAlignment="1">
      <alignment horizontal="left"/>
    </xf>
    <xf numFmtId="0" fontId="10" fillId="6" borderId="1" xfId="0" applyFont="1" applyFill="1" applyBorder="1"/>
    <xf numFmtId="0" fontId="1" fillId="6" borderId="1" xfId="0" applyFont="1" applyFill="1" applyBorder="1"/>
    <xf numFmtId="0" fontId="8" fillId="0" borderId="23" xfId="0" applyFont="1" applyBorder="1"/>
    <xf numFmtId="0" fontId="2" fillId="0" borderId="23" xfId="0" applyFont="1" applyBorder="1" applyAlignment="1">
      <alignment horizontal="center"/>
    </xf>
    <xf numFmtId="1" fontId="2" fillId="0" borderId="23" xfId="0" applyNumberFormat="1" applyFont="1" applyBorder="1" applyAlignment="1">
      <alignment horizontal="left"/>
    </xf>
    <xf numFmtId="164" fontId="8" fillId="0" borderId="23" xfId="0" applyNumberFormat="1" applyFont="1" applyBorder="1"/>
    <xf numFmtId="3" fontId="2" fillId="0" borderId="1" xfId="0" applyNumberFormat="1" applyFont="1" applyBorder="1"/>
    <xf numFmtId="3" fontId="10" fillId="7" borderId="1" xfId="0" applyNumberFormat="1" applyFont="1" applyFill="1" applyBorder="1"/>
    <xf numFmtId="3" fontId="2" fillId="0" borderId="23" xfId="0" applyNumberFormat="1" applyFont="1" applyBorder="1"/>
    <xf numFmtId="0" fontId="2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2" fillId="0" borderId="21" xfId="0" applyFont="1" applyBorder="1" applyAlignment="1">
      <alignment horizontal="left"/>
    </xf>
    <xf numFmtId="1" fontId="12" fillId="0" borderId="9" xfId="0" applyNumberFormat="1" applyFont="1" applyBorder="1" applyAlignment="1">
      <alignment horizontal="left"/>
    </xf>
    <xf numFmtId="3" fontId="12" fillId="0" borderId="24" xfId="0" applyNumberFormat="1" applyFont="1" applyBorder="1"/>
    <xf numFmtId="0" fontId="12" fillId="0" borderId="9" xfId="0" applyFont="1" applyBorder="1"/>
    <xf numFmtId="41" fontId="12" fillId="0" borderId="24" xfId="0" applyNumberFormat="1" applyFont="1" applyBorder="1"/>
    <xf numFmtId="3" fontId="12" fillId="0" borderId="10" xfId="0" applyNumberFormat="1" applyFont="1" applyBorder="1"/>
    <xf numFmtId="0" fontId="10" fillId="0" borderId="9" xfId="0" applyFont="1" applyBorder="1"/>
    <xf numFmtId="1" fontId="10" fillId="0" borderId="9" xfId="0" applyNumberFormat="1" applyFont="1" applyBorder="1" applyAlignment="1">
      <alignment horizontal="left"/>
    </xf>
    <xf numFmtId="0" fontId="10" fillId="0" borderId="9" xfId="0" quotePrefix="1" applyFont="1" applyBorder="1"/>
    <xf numFmtId="41" fontId="10" fillId="0" borderId="1" xfId="0" applyNumberFormat="1" applyFont="1" applyBorder="1"/>
    <xf numFmtId="3" fontId="10" fillId="0" borderId="21" xfId="0" applyNumberFormat="1" applyFont="1" applyBorder="1"/>
    <xf numFmtId="3" fontId="10" fillId="0" borderId="9" xfId="0" applyNumberFormat="1" applyFont="1" applyBorder="1"/>
    <xf numFmtId="0" fontId="10" fillId="0" borderId="9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41" fontId="10" fillId="0" borderId="9" xfId="0" applyNumberFormat="1" applyFont="1" applyBorder="1" applyAlignment="1">
      <alignment horizontal="center"/>
    </xf>
    <xf numFmtId="41" fontId="12" fillId="0" borderId="9" xfId="0" applyNumberFormat="1" applyFont="1" applyBorder="1"/>
    <xf numFmtId="41" fontId="10" fillId="0" borderId="25" xfId="0" applyNumberFormat="1" applyFont="1" applyBorder="1" applyAlignment="1">
      <alignment horizontal="left"/>
    </xf>
    <xf numFmtId="41" fontId="7" fillId="2" borderId="1" xfId="0" applyNumberFormat="1" applyFont="1" applyFill="1" applyBorder="1" applyAlignment="1">
      <alignment horizontal="center"/>
    </xf>
    <xf numFmtId="41" fontId="10" fillId="0" borderId="1" xfId="0" applyNumberFormat="1" applyFont="1" applyBorder="1" applyAlignment="1">
      <alignment horizontal="center"/>
    </xf>
    <xf numFmtId="1" fontId="10" fillId="0" borderId="16" xfId="0" applyNumberFormat="1" applyFont="1" applyBorder="1" applyAlignment="1">
      <alignment horizontal="left"/>
    </xf>
    <xf numFmtId="0" fontId="3" fillId="2" borderId="2" xfId="0" applyFont="1" applyFill="1" applyBorder="1"/>
    <xf numFmtId="0" fontId="13" fillId="0" borderId="1" xfId="0" applyFont="1" applyBorder="1"/>
    <xf numFmtId="41" fontId="1" fillId="0" borderId="1" xfId="0" applyNumberFormat="1" applyFont="1" applyBorder="1" applyAlignment="1">
      <alignment horizontal="left" vertical="top"/>
    </xf>
    <xf numFmtId="41" fontId="2" fillId="0" borderId="1" xfId="0" applyNumberFormat="1" applyFont="1" applyBorder="1" applyAlignment="1">
      <alignment horizontal="right"/>
    </xf>
    <xf numFmtId="164" fontId="5" fillId="4" borderId="1" xfId="0" applyNumberFormat="1" applyFont="1" applyFill="1" applyBorder="1" applyAlignment="1">
      <alignment horizontal="center"/>
    </xf>
    <xf numFmtId="1" fontId="10" fillId="6" borderId="1" xfId="0" applyNumberFormat="1" applyFont="1" applyFill="1" applyBorder="1" applyAlignment="1">
      <alignment horizontal="left"/>
    </xf>
    <xf numFmtId="1" fontId="10" fillId="6" borderId="1" xfId="0" quotePrefix="1" applyNumberFormat="1" applyFont="1" applyFill="1" applyBorder="1" applyAlignment="1">
      <alignment horizontal="left"/>
    </xf>
    <xf numFmtId="41" fontId="2" fillId="8" borderId="1" xfId="0" applyNumberFormat="1" applyFont="1" applyFill="1" applyBorder="1"/>
    <xf numFmtId="0" fontId="10" fillId="6" borderId="1" xfId="0" applyFont="1" applyFill="1" applyBorder="1" applyAlignment="1">
      <alignment horizontal="center"/>
    </xf>
    <xf numFmtId="3" fontId="10" fillId="6" borderId="1" xfId="0" applyNumberFormat="1" applyFont="1" applyFill="1" applyBorder="1"/>
    <xf numFmtId="0" fontId="10" fillId="6" borderId="1" xfId="0" quotePrefix="1" applyFont="1" applyFill="1" applyBorder="1"/>
    <xf numFmtId="0" fontId="1" fillId="0" borderId="1" xfId="0" applyFont="1" applyBorder="1" applyAlignment="1">
      <alignment wrapText="1"/>
    </xf>
    <xf numFmtId="1" fontId="1" fillId="6" borderId="1" xfId="0" applyNumberFormat="1" applyFont="1" applyFill="1" applyBorder="1" applyAlignment="1">
      <alignment horizontal="left"/>
    </xf>
    <xf numFmtId="164" fontId="1" fillId="6" borderId="1" xfId="0" applyNumberFormat="1" applyFont="1" applyFill="1" applyBorder="1"/>
    <xf numFmtId="0" fontId="10" fillId="6" borderId="1" xfId="0" applyFont="1" applyFill="1" applyBorder="1" applyAlignment="1">
      <alignment horizontal="left" vertical="center"/>
    </xf>
    <xf numFmtId="0" fontId="14" fillId="0" borderId="1" xfId="0" applyFont="1" applyBorder="1"/>
    <xf numFmtId="0" fontId="2" fillId="6" borderId="1" xfId="0" applyFont="1" applyFill="1" applyBorder="1"/>
    <xf numFmtId="1" fontId="2" fillId="6" borderId="1" xfId="0" applyNumberFormat="1" applyFont="1" applyFill="1" applyBorder="1" applyAlignment="1">
      <alignment horizontal="left"/>
    </xf>
    <xf numFmtId="3" fontId="2" fillId="6" borderId="1" xfId="0" applyNumberFormat="1" applyFont="1" applyFill="1" applyBorder="1"/>
    <xf numFmtId="0" fontId="14" fillId="0" borderId="23" xfId="0" applyFont="1" applyBorder="1"/>
    <xf numFmtId="0" fontId="2" fillId="6" borderId="23" xfId="0" applyFont="1" applyFill="1" applyBorder="1"/>
    <xf numFmtId="1" fontId="2" fillId="6" borderId="23" xfId="0" applyNumberFormat="1" applyFont="1" applyFill="1" applyBorder="1" applyAlignment="1">
      <alignment horizontal="left"/>
    </xf>
    <xf numFmtId="3" fontId="2" fillId="6" borderId="23" xfId="0" applyNumberFormat="1" applyFont="1" applyFill="1" applyBorder="1"/>
    <xf numFmtId="0" fontId="2" fillId="2" borderId="1" xfId="0" applyFont="1" applyFill="1" applyBorder="1"/>
    <xf numFmtId="0" fontId="10" fillId="2" borderId="1" xfId="0" applyFont="1" applyFill="1" applyBorder="1"/>
    <xf numFmtId="41" fontId="10" fillId="0" borderId="1" xfId="0" applyNumberFormat="1" applyFont="1" applyBorder="1" applyAlignment="1">
      <alignment horizontal="right"/>
    </xf>
    <xf numFmtId="0" fontId="2" fillId="9" borderId="1" xfId="0" applyFont="1" applyFill="1" applyBorder="1" applyAlignment="1">
      <alignment horizontal="center"/>
    </xf>
    <xf numFmtId="0" fontId="10" fillId="9" borderId="1" xfId="0" applyFont="1" applyFill="1" applyBorder="1"/>
    <xf numFmtId="0" fontId="10" fillId="9" borderId="1" xfId="0" applyFont="1" applyFill="1" applyBorder="1" applyAlignment="1">
      <alignment horizontal="left"/>
    </xf>
    <xf numFmtId="1" fontId="10" fillId="9" borderId="1" xfId="0" applyNumberFormat="1" applyFont="1" applyFill="1" applyBorder="1" applyAlignment="1">
      <alignment horizontal="left"/>
    </xf>
    <xf numFmtId="41" fontId="2" fillId="9" borderId="1" xfId="0" applyNumberFormat="1" applyFont="1" applyFill="1" applyBorder="1" applyAlignment="1">
      <alignment horizontal="right"/>
    </xf>
    <xf numFmtId="41" fontId="13" fillId="0" borderId="1" xfId="0" applyNumberFormat="1" applyFont="1" applyBorder="1"/>
    <xf numFmtId="0" fontId="10" fillId="10" borderId="1" xfId="0" applyFont="1" applyFill="1" applyBorder="1" applyAlignment="1">
      <alignment horizontal="center"/>
    </xf>
    <xf numFmtId="0" fontId="10" fillId="10" borderId="1" xfId="0" applyFont="1" applyFill="1" applyBorder="1"/>
    <xf numFmtId="1" fontId="10" fillId="10" borderId="1" xfId="0" applyNumberFormat="1" applyFont="1" applyFill="1" applyBorder="1" applyAlignment="1">
      <alignment horizontal="left"/>
    </xf>
    <xf numFmtId="3" fontId="2" fillId="10" borderId="1" xfId="0" applyNumberFormat="1" applyFont="1" applyFill="1" applyBorder="1"/>
    <xf numFmtId="164" fontId="1" fillId="0" borderId="9" xfId="0" applyNumberFormat="1" applyFont="1" applyBorder="1"/>
    <xf numFmtId="0" fontId="3" fillId="0" borderId="23" xfId="0" applyFont="1" applyBorder="1" applyAlignment="1">
      <alignment horizontal="center"/>
    </xf>
    <xf numFmtId="0" fontId="3" fillId="0" borderId="23" xfId="0" applyFont="1" applyBorder="1"/>
    <xf numFmtId="164" fontId="3" fillId="0" borderId="23" xfId="0" applyNumberFormat="1" applyFont="1" applyBorder="1"/>
    <xf numFmtId="0" fontId="3" fillId="0" borderId="0" xfId="0" applyFont="1"/>
    <xf numFmtId="0" fontId="1" fillId="0" borderId="19" xfId="0" applyFont="1" applyBorder="1"/>
    <xf numFmtId="0" fontId="1" fillId="0" borderId="19" xfId="0" applyFont="1" applyBorder="1" applyAlignment="1">
      <alignment horizontal="left"/>
    </xf>
    <xf numFmtId="164" fontId="1" fillId="0" borderId="0" xfId="0" applyNumberFormat="1" applyFont="1"/>
    <xf numFmtId="164" fontId="1" fillId="0" borderId="19" xfId="0" applyNumberFormat="1" applyFont="1" applyBorder="1"/>
    <xf numFmtId="0" fontId="1" fillId="0" borderId="0" xfId="0" applyFont="1" applyAlignment="1">
      <alignment horizontal="center" vertical="center"/>
    </xf>
    <xf numFmtId="165" fontId="1" fillId="0" borderId="1" xfId="0" quotePrefix="1" applyNumberFormat="1" applyFont="1" applyBorder="1" applyAlignment="1">
      <alignment horizontal="left"/>
    </xf>
    <xf numFmtId="0" fontId="3" fillId="0" borderId="22" xfId="0" applyFont="1" applyBorder="1"/>
    <xf numFmtId="0" fontId="8" fillId="11" borderId="1" xfId="0" applyFont="1" applyFill="1" applyBorder="1"/>
    <xf numFmtId="164" fontId="8" fillId="11" borderId="1" xfId="0" applyNumberFormat="1" applyFont="1" applyFill="1" applyBorder="1"/>
    <xf numFmtId="0" fontId="8" fillId="11" borderId="23" xfId="0" applyFont="1" applyFill="1" applyBorder="1"/>
    <xf numFmtId="164" fontId="8" fillId="11" borderId="23" xfId="0" applyNumberFormat="1" applyFont="1" applyFill="1" applyBorder="1"/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41" fontId="1" fillId="4" borderId="1" xfId="0" applyNumberFormat="1" applyFont="1" applyFill="1" applyBorder="1"/>
    <xf numFmtId="41" fontId="2" fillId="6" borderId="1" xfId="0" applyNumberFormat="1" applyFont="1" applyFill="1" applyBorder="1" applyAlignment="1">
      <alignment horizontal="right"/>
    </xf>
    <xf numFmtId="0" fontId="2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left"/>
    </xf>
    <xf numFmtId="3" fontId="2" fillId="12" borderId="1" xfId="0" applyNumberFormat="1" applyFont="1" applyFill="1" applyBorder="1"/>
    <xf numFmtId="0" fontId="8" fillId="0" borderId="0" xfId="0" applyFont="1"/>
    <xf numFmtId="164" fontId="7" fillId="0" borderId="1" xfId="0" applyNumberFormat="1" applyFont="1" applyBorder="1" applyAlignment="1">
      <alignment vertical="top" wrapText="1"/>
    </xf>
    <xf numFmtId="167" fontId="1" fillId="0" borderId="1" xfId="0" applyNumberFormat="1" applyFont="1" applyBorder="1" applyAlignment="1">
      <alignment horizontal="right"/>
    </xf>
    <xf numFmtId="0" fontId="8" fillId="12" borderId="1" xfId="0" applyFont="1" applyFill="1" applyBorder="1"/>
    <xf numFmtId="164" fontId="8" fillId="12" borderId="1" xfId="0" applyNumberFormat="1" applyFont="1" applyFill="1" applyBorder="1"/>
    <xf numFmtId="0" fontId="8" fillId="12" borderId="23" xfId="0" applyFont="1" applyFill="1" applyBorder="1"/>
    <xf numFmtId="164" fontId="8" fillId="12" borderId="23" xfId="0" applyNumberFormat="1" applyFont="1" applyFill="1" applyBorder="1"/>
    <xf numFmtId="0" fontId="8" fillId="2" borderId="1" xfId="0" applyFont="1" applyFill="1" applyBorder="1"/>
    <xf numFmtId="164" fontId="3" fillId="0" borderId="1" xfId="0" applyNumberFormat="1" applyFont="1" applyBorder="1"/>
    <xf numFmtId="0" fontId="3" fillId="13" borderId="23" xfId="0" applyFont="1" applyFill="1" applyBorder="1"/>
    <xf numFmtId="164" fontId="3" fillId="13" borderId="23" xfId="0" applyNumberFormat="1" applyFont="1" applyFill="1" applyBorder="1"/>
    <xf numFmtId="0" fontId="2" fillId="14" borderId="1" xfId="0" applyFont="1" applyFill="1" applyBorder="1" applyAlignment="1">
      <alignment horizontal="center"/>
    </xf>
    <xf numFmtId="0" fontId="10" fillId="14" borderId="1" xfId="0" applyFont="1" applyFill="1" applyBorder="1"/>
    <xf numFmtId="1" fontId="10" fillId="14" borderId="1" xfId="0" applyNumberFormat="1" applyFont="1" applyFill="1" applyBorder="1" applyAlignment="1">
      <alignment horizontal="left"/>
    </xf>
    <xf numFmtId="3" fontId="2" fillId="14" borderId="1" xfId="0" applyNumberFormat="1" applyFont="1" applyFill="1" applyBorder="1"/>
    <xf numFmtId="41" fontId="3" fillId="0" borderId="1" xfId="0" applyNumberFormat="1" applyFont="1" applyBorder="1" applyAlignment="1">
      <alignment horizontal="right"/>
    </xf>
    <xf numFmtId="3" fontId="1" fillId="6" borderId="1" xfId="0" applyNumberFormat="1" applyFont="1" applyFill="1" applyBorder="1"/>
    <xf numFmtId="0" fontId="1" fillId="15" borderId="1" xfId="0" applyFont="1" applyFill="1" applyBorder="1"/>
    <xf numFmtId="0" fontId="1" fillId="15" borderId="1" xfId="0" applyFont="1" applyFill="1" applyBorder="1" applyAlignment="1">
      <alignment horizontal="left"/>
    </xf>
    <xf numFmtId="41" fontId="3" fillId="15" borderId="1" xfId="0" applyNumberFormat="1" applyFont="1" applyFill="1" applyBorder="1"/>
    <xf numFmtId="41" fontId="3" fillId="0" borderId="1" xfId="0" applyNumberFormat="1" applyFont="1" applyBorder="1"/>
    <xf numFmtId="0" fontId="1" fillId="15" borderId="1" xfId="0" applyFont="1" applyFill="1" applyBorder="1" applyAlignment="1">
      <alignment horizontal="center"/>
    </xf>
    <xf numFmtId="0" fontId="8" fillId="15" borderId="1" xfId="0" applyFont="1" applyFill="1" applyBorder="1"/>
    <xf numFmtId="164" fontId="8" fillId="15" borderId="1" xfId="0" applyNumberFormat="1" applyFont="1" applyFill="1" applyBorder="1"/>
    <xf numFmtId="0" fontId="6" fillId="0" borderId="23" xfId="0" applyFont="1" applyBorder="1"/>
    <xf numFmtId="0" fontId="8" fillId="15" borderId="23" xfId="0" applyFont="1" applyFill="1" applyBorder="1"/>
    <xf numFmtId="164" fontId="8" fillId="15" borderId="23" xfId="0" applyNumberFormat="1" applyFont="1" applyFill="1" applyBorder="1"/>
    <xf numFmtId="0" fontId="1" fillId="6" borderId="1" xfId="0" quotePrefix="1" applyFont="1" applyFill="1" applyBorder="1"/>
    <xf numFmtId="0" fontId="1" fillId="6" borderId="1" xfId="0" quotePrefix="1" applyFont="1" applyFill="1" applyBorder="1" applyAlignment="1">
      <alignment horizontal="left"/>
    </xf>
    <xf numFmtId="0" fontId="8" fillId="8" borderId="23" xfId="0" applyFont="1" applyFill="1" applyBorder="1"/>
    <xf numFmtId="164" fontId="8" fillId="8" borderId="23" xfId="0" applyNumberFormat="1" applyFont="1" applyFill="1" applyBorder="1"/>
    <xf numFmtId="41" fontId="1" fillId="0" borderId="8" xfId="0" applyNumberFormat="1" applyFont="1" applyBorder="1"/>
    <xf numFmtId="3" fontId="1" fillId="0" borderId="8" xfId="0" applyNumberFormat="1" applyFont="1" applyBorder="1"/>
    <xf numFmtId="0" fontId="1" fillId="0" borderId="21" xfId="0" applyFont="1" applyBorder="1"/>
    <xf numFmtId="0" fontId="1" fillId="0" borderId="9" xfId="0" quotePrefix="1" applyFont="1" applyBorder="1"/>
    <xf numFmtId="3" fontId="1" fillId="0" borderId="10" xfId="0" applyNumberFormat="1" applyFont="1" applyBorder="1"/>
    <xf numFmtId="3" fontId="1" fillId="6" borderId="26" xfId="0" applyNumberFormat="1" applyFont="1" applyFill="1" applyBorder="1"/>
    <xf numFmtId="0" fontId="1" fillId="0" borderId="20" xfId="0" applyFont="1" applyBorder="1"/>
    <xf numFmtId="0" fontId="1" fillId="0" borderId="16" xfId="0" quotePrefix="1" applyFont="1" applyBorder="1" applyAlignment="1">
      <alignment horizontal="left"/>
    </xf>
    <xf numFmtId="41" fontId="1" fillId="0" borderId="24" xfId="0" applyNumberFormat="1" applyFont="1" applyBorder="1"/>
    <xf numFmtId="0" fontId="2" fillId="8" borderId="1" xfId="0" applyFont="1" applyFill="1" applyBorder="1"/>
    <xf numFmtId="1" fontId="2" fillId="8" borderId="1" xfId="0" applyNumberFormat="1" applyFont="1" applyFill="1" applyBorder="1" applyAlignment="1">
      <alignment horizontal="left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41" fontId="2" fillId="8" borderId="1" xfId="0" applyNumberFormat="1" applyFont="1" applyFill="1" applyBorder="1" applyAlignment="1">
      <alignment horizontal="left"/>
    </xf>
    <xf numFmtId="41" fontId="2" fillId="8" borderId="1" xfId="0" applyNumberFormat="1" applyFont="1" applyFill="1" applyBorder="1" applyAlignment="1">
      <alignment horizontal="center"/>
    </xf>
    <xf numFmtId="0" fontId="3" fillId="0" borderId="7" xfId="0" applyFont="1" applyBorder="1"/>
    <xf numFmtId="167" fontId="3" fillId="0" borderId="1" xfId="0" applyNumberFormat="1" applyFont="1" applyBorder="1"/>
    <xf numFmtId="0" fontId="8" fillId="8" borderId="1" xfId="0" applyFont="1" applyFill="1" applyBorder="1"/>
    <xf numFmtId="3" fontId="3" fillId="15" borderId="1" xfId="0" applyNumberFormat="1" applyFont="1" applyFill="1" applyBorder="1"/>
    <xf numFmtId="168" fontId="15" fillId="0" borderId="6" xfId="0" applyNumberFormat="1" applyFont="1" applyBorder="1"/>
    <xf numFmtId="168" fontId="15" fillId="0" borderId="1" xfId="0" applyNumberFormat="1" applyFont="1" applyBorder="1"/>
    <xf numFmtId="164" fontId="8" fillId="8" borderId="1" xfId="0" applyNumberFormat="1" applyFont="1" applyFill="1" applyBorder="1"/>
    <xf numFmtId="0" fontId="1" fillId="6" borderId="1" xfId="0" applyFont="1" applyFill="1" applyBorder="1" applyAlignment="1">
      <alignment horizontal="center"/>
    </xf>
    <xf numFmtId="0" fontId="15" fillId="0" borderId="0" xfId="0" applyFont="1"/>
    <xf numFmtId="0" fontId="3" fillId="16" borderId="1" xfId="0" applyFont="1" applyFill="1" applyBorder="1"/>
    <xf numFmtId="164" fontId="3" fillId="16" borderId="1" xfId="0" applyNumberFormat="1" applyFont="1" applyFill="1" applyBorder="1"/>
    <xf numFmtId="41" fontId="6" fillId="0" borderId="1" xfId="0" applyNumberFormat="1" applyFont="1" applyBorder="1"/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/>
    <xf numFmtId="1" fontId="1" fillId="8" borderId="1" xfId="0" applyNumberFormat="1" applyFont="1" applyFill="1" applyBorder="1" applyAlignment="1">
      <alignment horizontal="left"/>
    </xf>
    <xf numFmtId="3" fontId="3" fillId="8" borderId="1" xfId="0" applyNumberFormat="1" applyFont="1" applyFill="1" applyBorder="1"/>
    <xf numFmtId="0" fontId="6" fillId="0" borderId="9" xfId="0" applyFont="1" applyBorder="1"/>
    <xf numFmtId="164" fontId="6" fillId="0" borderId="9" xfId="0" applyNumberFormat="1" applyFont="1" applyBorder="1"/>
    <xf numFmtId="3" fontId="1" fillId="6" borderId="1" xfId="0" applyNumberFormat="1" applyFont="1" applyFill="1" applyBorder="1" applyAlignment="1">
      <alignment horizontal="right"/>
    </xf>
    <xf numFmtId="167" fontId="6" fillId="0" borderId="1" xfId="0" applyNumberFormat="1" applyFont="1" applyBorder="1"/>
    <xf numFmtId="3" fontId="3" fillId="8" borderId="1" xfId="0" applyNumberFormat="1" applyFont="1" applyFill="1" applyBorder="1" applyAlignment="1">
      <alignment horizontal="right"/>
    </xf>
    <xf numFmtId="0" fontId="11" fillId="0" borderId="1" xfId="0" applyFont="1" applyBorder="1"/>
    <xf numFmtId="164" fontId="11" fillId="0" borderId="1" xfId="0" applyNumberFormat="1" applyFont="1" applyBorder="1"/>
    <xf numFmtId="167" fontId="1" fillId="5" borderId="1" xfId="0" applyNumberFormat="1" applyFont="1" applyFill="1" applyBorder="1" applyAlignment="1">
      <alignment vertical="top" wrapText="1"/>
    </xf>
    <xf numFmtId="0" fontId="3" fillId="0" borderId="1" xfId="0" applyFont="1" applyBorder="1" applyAlignment="1">
      <alignment wrapText="1"/>
    </xf>
    <xf numFmtId="9" fontId="3" fillId="0" borderId="1" xfId="0" applyNumberFormat="1" applyFont="1" applyBorder="1" applyAlignment="1">
      <alignment horizontal="center"/>
    </xf>
    <xf numFmtId="0" fontId="3" fillId="8" borderId="1" xfId="0" applyFont="1" applyFill="1" applyBorder="1"/>
    <xf numFmtId="164" fontId="3" fillId="8" borderId="1" xfId="0" applyNumberFormat="1" applyFont="1" applyFill="1" applyBorder="1"/>
    <xf numFmtId="164" fontId="3" fillId="0" borderId="0" xfId="0" applyNumberFormat="1" applyFont="1"/>
    <xf numFmtId="41" fontId="1" fillId="0" borderId="1" xfId="0" applyNumberFormat="1" applyFont="1" applyBorder="1" applyAlignment="1">
      <alignment horizontal="right"/>
    </xf>
    <xf numFmtId="0" fontId="3" fillId="17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left"/>
    </xf>
    <xf numFmtId="41" fontId="3" fillId="17" borderId="1" xfId="0" applyNumberFormat="1" applyFont="1" applyFill="1" applyBorder="1" applyAlignment="1">
      <alignment horizontal="right"/>
    </xf>
    <xf numFmtId="0" fontId="1" fillId="17" borderId="1" xfId="0" applyFont="1" applyFill="1" applyBorder="1"/>
    <xf numFmtId="49" fontId="16" fillId="17" borderId="1" xfId="0" applyNumberFormat="1" applyFont="1" applyFill="1" applyBorder="1"/>
    <xf numFmtId="41" fontId="3" fillId="17" borderId="1" xfId="0" applyNumberFormat="1" applyFont="1" applyFill="1" applyBorder="1"/>
    <xf numFmtId="1" fontId="1" fillId="6" borderId="1" xfId="0" quotePrefix="1" applyNumberFormat="1" applyFont="1" applyFill="1" applyBorder="1" applyAlignment="1">
      <alignment horizontal="left"/>
    </xf>
    <xf numFmtId="0" fontId="5" fillId="13" borderId="7" xfId="0" applyFont="1" applyFill="1" applyBorder="1"/>
    <xf numFmtId="0" fontId="5" fillId="13" borderId="1" xfId="0" applyFont="1" applyFill="1" applyBorder="1" applyAlignment="1">
      <alignment horizontal="left" vertical="top"/>
    </xf>
    <xf numFmtId="0" fontId="5" fillId="13" borderId="1" xfId="0" applyFont="1" applyFill="1" applyBorder="1" applyAlignment="1">
      <alignment wrapText="1"/>
    </xf>
    <xf numFmtId="41" fontId="5" fillId="13" borderId="1" xfId="0" applyNumberFormat="1" applyFont="1" applyFill="1" applyBorder="1" applyAlignment="1">
      <alignment horizontal="center"/>
    </xf>
    <xf numFmtId="164" fontId="5" fillId="13" borderId="1" xfId="0" applyNumberFormat="1" applyFont="1" applyFill="1" applyBorder="1" applyAlignment="1">
      <alignment horizontal="center"/>
    </xf>
    <xf numFmtId="41" fontId="5" fillId="13" borderId="8" xfId="0" applyNumberFormat="1" applyFont="1" applyFill="1" applyBorder="1" applyAlignment="1">
      <alignment horizontal="center"/>
    </xf>
    <xf numFmtId="41" fontId="5" fillId="13" borderId="18" xfId="0" applyNumberFormat="1" applyFont="1" applyFill="1" applyBorder="1" applyAlignment="1">
      <alignment horizontal="center"/>
    </xf>
    <xf numFmtId="0" fontId="3" fillId="0" borderId="7" xfId="0" applyFont="1" applyBorder="1" applyAlignment="1">
      <alignment horizontal="left"/>
    </xf>
    <xf numFmtId="41" fontId="17" fillId="13" borderId="18" xfId="0" applyNumberFormat="1" applyFont="1" applyFill="1" applyBorder="1"/>
    <xf numFmtId="41" fontId="3" fillId="0" borderId="1" xfId="0" applyNumberFormat="1" applyFont="1" applyBorder="1" applyAlignment="1">
      <alignment horizontal="center"/>
    </xf>
    <xf numFmtId="0" fontId="5" fillId="3" borderId="7" xfId="0" applyFont="1" applyFill="1" applyBorder="1"/>
    <xf numFmtId="0" fontId="5" fillId="3" borderId="1" xfId="0" applyFont="1" applyFill="1" applyBorder="1" applyAlignment="1">
      <alignment horizontal="left" vertical="top"/>
    </xf>
    <xf numFmtId="0" fontId="5" fillId="3" borderId="1" xfId="0" applyFont="1" applyFill="1" applyBorder="1"/>
    <xf numFmtId="164" fontId="5" fillId="3" borderId="1" xfId="0" applyNumberFormat="1" applyFont="1" applyFill="1" applyBorder="1"/>
    <xf numFmtId="41" fontId="3" fillId="0" borderId="16" xfId="0" applyNumberFormat="1" applyFont="1" applyBorder="1" applyAlignment="1">
      <alignment horizontal="center"/>
    </xf>
    <xf numFmtId="167" fontId="5" fillId="3" borderId="8" xfId="0" applyNumberFormat="1" applyFont="1" applyFill="1" applyBorder="1"/>
    <xf numFmtId="41" fontId="17" fillId="3" borderId="18" xfId="0" applyNumberFormat="1" applyFont="1" applyFill="1" applyBorder="1"/>
    <xf numFmtId="167" fontId="7" fillId="0" borderId="1" xfId="0" applyNumberFormat="1" applyFont="1" applyBorder="1" applyAlignment="1">
      <alignment horizontal="left"/>
    </xf>
    <xf numFmtId="164" fontId="7" fillId="5" borderId="1" xfId="0" applyNumberFormat="1" applyFont="1" applyFill="1" applyBorder="1" applyAlignment="1">
      <alignment vertical="top" wrapText="1"/>
    </xf>
    <xf numFmtId="164" fontId="7" fillId="5" borderId="1" xfId="0" applyNumberFormat="1" applyFont="1" applyFill="1" applyBorder="1"/>
    <xf numFmtId="167" fontId="7" fillId="0" borderId="1" xfId="0" applyNumberFormat="1" applyFont="1" applyBorder="1"/>
    <xf numFmtId="0" fontId="1" fillId="0" borderId="1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67" fontId="3" fillId="0" borderId="1" xfId="0" applyNumberFormat="1" applyFont="1" applyBorder="1" applyAlignment="1">
      <alignment horizontal="left"/>
    </xf>
    <xf numFmtId="0" fontId="3" fillId="13" borderId="1" xfId="0" applyFont="1" applyFill="1" applyBorder="1"/>
    <xf numFmtId="164" fontId="3" fillId="13" borderId="1" xfId="0" applyNumberFormat="1" applyFont="1" applyFill="1" applyBorder="1"/>
    <xf numFmtId="37" fontId="3" fillId="13" borderId="12" xfId="0" applyNumberFormat="1" applyFont="1" applyFill="1" applyBorder="1"/>
    <xf numFmtId="0" fontId="3" fillId="13" borderId="7" xfId="0" applyFont="1" applyFill="1" applyBorder="1"/>
    <xf numFmtId="0" fontId="3" fillId="13" borderId="1" xfId="0" applyFont="1" applyFill="1" applyBorder="1" applyAlignment="1">
      <alignment wrapText="1"/>
    </xf>
    <xf numFmtId="167" fontId="3" fillId="13" borderId="1" xfId="0" applyNumberFormat="1" applyFont="1" applyFill="1" applyBorder="1" applyAlignment="1">
      <alignment horizontal="left"/>
    </xf>
    <xf numFmtId="0" fontId="3" fillId="3" borderId="7" xfId="0" applyFont="1" applyFill="1" applyBorder="1"/>
    <xf numFmtId="0" fontId="1" fillId="3" borderId="1" xfId="0" applyFont="1" applyFill="1" applyBorder="1"/>
    <xf numFmtId="0" fontId="3" fillId="18" borderId="1" xfId="0" applyFont="1" applyFill="1" applyBorder="1" applyAlignment="1">
      <alignment horizontal="center"/>
    </xf>
    <xf numFmtId="0" fontId="1" fillId="18" borderId="1" xfId="0" applyFont="1" applyFill="1" applyBorder="1"/>
    <xf numFmtId="0" fontId="1" fillId="18" borderId="1" xfId="0" applyFont="1" applyFill="1" applyBorder="1" applyAlignment="1">
      <alignment horizontal="center"/>
    </xf>
    <xf numFmtId="41" fontId="1" fillId="3" borderId="1" xfId="0" applyNumberFormat="1" applyFont="1" applyFill="1" applyBorder="1"/>
    <xf numFmtId="1" fontId="1" fillId="18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/>
    <xf numFmtId="3" fontId="3" fillId="18" borderId="1" xfId="0" applyNumberFormat="1" applyFont="1" applyFill="1" applyBorder="1"/>
    <xf numFmtId="41" fontId="4" fillId="3" borderId="8" xfId="0" applyNumberFormat="1" applyFont="1" applyFill="1" applyBorder="1"/>
    <xf numFmtId="167" fontId="1" fillId="4" borderId="1" xfId="0" applyNumberFormat="1" applyFont="1" applyFill="1" applyBorder="1" applyAlignment="1">
      <alignment vertical="top"/>
    </xf>
    <xf numFmtId="0" fontId="5" fillId="13" borderId="1" xfId="0" applyFont="1" applyFill="1" applyBorder="1"/>
    <xf numFmtId="167" fontId="5" fillId="13" borderId="1" xfId="0" applyNumberFormat="1" applyFont="1" applyFill="1" applyBorder="1"/>
    <xf numFmtId="164" fontId="5" fillId="13" borderId="1" xfId="0" applyNumberFormat="1" applyFont="1" applyFill="1" applyBorder="1"/>
    <xf numFmtId="167" fontId="5" fillId="13" borderId="8" xfId="0" applyNumberFormat="1" applyFont="1" applyFill="1" applyBorder="1"/>
    <xf numFmtId="167" fontId="5" fillId="13" borderId="18" xfId="0" applyNumberFormat="1" applyFont="1" applyFill="1" applyBorder="1"/>
    <xf numFmtId="169" fontId="1" fillId="0" borderId="1" xfId="0" applyNumberFormat="1" applyFont="1" applyBorder="1" applyAlignment="1">
      <alignment horizontal="center"/>
    </xf>
    <xf numFmtId="41" fontId="1" fillId="4" borderId="1" xfId="0" applyNumberFormat="1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1" fontId="3" fillId="13" borderId="1" xfId="0" applyNumberFormat="1" applyFont="1" applyFill="1" applyBorder="1" applyAlignment="1">
      <alignment horizontal="left"/>
    </xf>
    <xf numFmtId="3" fontId="3" fillId="13" borderId="1" xfId="0" applyNumberFormat="1" applyFont="1" applyFill="1" applyBorder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left"/>
    </xf>
    <xf numFmtId="3" fontId="1" fillId="0" borderId="0" xfId="0" applyNumberFormat="1" applyFont="1"/>
    <xf numFmtId="0" fontId="3" fillId="2" borderId="1" xfId="0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/>
    <xf numFmtId="0" fontId="3" fillId="19" borderId="1" xfId="0" applyFont="1" applyFill="1" applyBorder="1" applyAlignment="1">
      <alignment horizontal="center"/>
    </xf>
    <xf numFmtId="0" fontId="3" fillId="19" borderId="1" xfId="0" applyFont="1" applyFill="1" applyBorder="1"/>
    <xf numFmtId="1" fontId="3" fillId="19" borderId="1" xfId="0" applyNumberFormat="1" applyFont="1" applyFill="1" applyBorder="1" applyAlignment="1">
      <alignment horizontal="left"/>
    </xf>
    <xf numFmtId="3" fontId="3" fillId="19" borderId="1" xfId="0" applyNumberFormat="1" applyFont="1" applyFill="1" applyBorder="1"/>
    <xf numFmtId="1" fontId="3" fillId="12" borderId="23" xfId="0" applyNumberFormat="1" applyFont="1" applyFill="1" applyBorder="1" applyAlignment="1">
      <alignment horizontal="left"/>
    </xf>
    <xf numFmtId="3" fontId="3" fillId="12" borderId="23" xfId="0" applyNumberFormat="1" applyFont="1" applyFill="1" applyBorder="1"/>
    <xf numFmtId="164" fontId="10" fillId="0" borderId="1" xfId="0" applyNumberFormat="1" applyFont="1" applyBorder="1"/>
    <xf numFmtId="167" fontId="1" fillId="0" borderId="16" xfId="0" applyNumberFormat="1" applyFont="1" applyBorder="1"/>
    <xf numFmtId="164" fontId="15" fillId="0" borderId="1" xfId="0" applyNumberFormat="1" applyFont="1" applyBorder="1"/>
    <xf numFmtId="41" fontId="15" fillId="0" borderId="8" xfId="0" applyNumberFormat="1" applyFont="1" applyBorder="1"/>
    <xf numFmtId="164" fontId="10" fillId="0" borderId="9" xfId="0" applyNumberFormat="1" applyFont="1" applyBorder="1"/>
    <xf numFmtId="0" fontId="1" fillId="4" borderId="1" xfId="0" applyFont="1" applyFill="1" applyBorder="1"/>
    <xf numFmtId="41" fontId="3" fillId="13" borderId="1" xfId="0" applyNumberFormat="1" applyFont="1" applyFill="1" applyBorder="1"/>
    <xf numFmtId="41" fontId="5" fillId="13" borderId="1" xfId="0" applyNumberFormat="1" applyFont="1" applyFill="1" applyBorder="1"/>
    <xf numFmtId="41" fontId="5" fillId="13" borderId="8" xfId="0" applyNumberFormat="1" applyFont="1" applyFill="1" applyBorder="1"/>
    <xf numFmtId="41" fontId="5" fillId="13" borderId="18" xfId="0" applyNumberFormat="1" applyFont="1" applyFill="1" applyBorder="1"/>
    <xf numFmtId="0" fontId="7" fillId="3" borderId="7" xfId="0" applyFont="1" applyFill="1" applyBorder="1"/>
    <xf numFmtId="167" fontId="3" fillId="4" borderId="1" xfId="0" applyNumberFormat="1" applyFont="1" applyFill="1" applyBorder="1" applyAlignment="1">
      <alignment horizontal="left"/>
    </xf>
    <xf numFmtId="0" fontId="7" fillId="3" borderId="1" xfId="0" applyFont="1" applyFill="1" applyBorder="1"/>
    <xf numFmtId="164" fontId="7" fillId="3" borderId="1" xfId="0" applyNumberFormat="1" applyFont="1" applyFill="1" applyBorder="1"/>
    <xf numFmtId="167" fontId="7" fillId="3" borderId="8" xfId="0" applyNumberFormat="1" applyFont="1" applyFill="1" applyBorder="1"/>
    <xf numFmtId="41" fontId="9" fillId="3" borderId="18" xfId="0" applyNumberFormat="1" applyFont="1" applyFill="1" applyBorder="1"/>
    <xf numFmtId="167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vertical="top"/>
    </xf>
    <xf numFmtId="164" fontId="7" fillId="0" borderId="1" xfId="0" applyNumberFormat="1" applyFont="1" applyBorder="1" applyAlignment="1">
      <alignment vertical="top"/>
    </xf>
    <xf numFmtId="0" fontId="1" fillId="0" borderId="6" xfId="0" applyFont="1" applyBorder="1"/>
    <xf numFmtId="164" fontId="7" fillId="0" borderId="1" xfId="0" applyNumberFormat="1" applyFont="1" applyBorder="1" applyAlignment="1">
      <alignment horizontal="right"/>
    </xf>
    <xf numFmtId="0" fontId="5" fillId="0" borderId="0" xfId="0" applyFont="1"/>
    <xf numFmtId="0" fontId="18" fillId="0" borderId="0" xfId="0" applyFont="1"/>
    <xf numFmtId="168" fontId="1" fillId="4" borderId="1" xfId="0" applyNumberFormat="1" applyFont="1" applyFill="1" applyBorder="1" applyAlignment="1">
      <alignment horizontal="center"/>
    </xf>
    <xf numFmtId="167" fontId="3" fillId="13" borderId="1" xfId="0" applyNumberFormat="1" applyFont="1" applyFill="1" applyBorder="1"/>
    <xf numFmtId="0" fontId="5" fillId="13" borderId="1" xfId="0" applyFont="1" applyFill="1" applyBorder="1" applyAlignment="1">
      <alignment horizontal="left"/>
    </xf>
    <xf numFmtId="164" fontId="7" fillId="4" borderId="1" xfId="0" applyNumberFormat="1" applyFont="1" applyFill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5" fillId="13" borderId="27" xfId="0" applyFont="1" applyFill="1" applyBorder="1"/>
    <xf numFmtId="0" fontId="5" fillId="13" borderId="28" xfId="0" applyFont="1" applyFill="1" applyBorder="1" applyAlignment="1">
      <alignment horizontal="left" vertical="top"/>
    </xf>
    <xf numFmtId="0" fontId="5" fillId="13" borderId="28" xfId="0" applyFont="1" applyFill="1" applyBorder="1"/>
    <xf numFmtId="167" fontId="5" fillId="13" borderId="28" xfId="0" applyNumberFormat="1" applyFont="1" applyFill="1" applyBorder="1"/>
    <xf numFmtId="164" fontId="5" fillId="13" borderId="28" xfId="0" applyNumberFormat="1" applyFont="1" applyFill="1" applyBorder="1"/>
    <xf numFmtId="167" fontId="5" fillId="13" borderId="29" xfId="0" applyNumberFormat="1" applyFont="1" applyFill="1" applyBorder="1"/>
    <xf numFmtId="0" fontId="17" fillId="13" borderId="28" xfId="0" applyFont="1" applyFill="1" applyBorder="1"/>
    <xf numFmtId="167" fontId="1" fillId="4" borderId="1" xfId="0" applyNumberFormat="1" applyFont="1" applyFill="1" applyBorder="1" applyAlignment="1">
      <alignment horizontal="right"/>
    </xf>
    <xf numFmtId="0" fontId="5" fillId="0" borderId="21" xfId="0" applyFont="1" applyBorder="1"/>
    <xf numFmtId="0" fontId="5" fillId="0" borderId="9" xfId="0" applyFont="1" applyBorder="1" applyAlignment="1">
      <alignment horizontal="left" vertical="top"/>
    </xf>
    <xf numFmtId="0" fontId="5" fillId="0" borderId="9" xfId="0" applyFont="1" applyBorder="1"/>
    <xf numFmtId="167" fontId="5" fillId="0" borderId="9" xfId="0" applyNumberFormat="1" applyFont="1" applyBorder="1"/>
    <xf numFmtId="164" fontId="5" fillId="0" borderId="9" xfId="0" applyNumberFormat="1" applyFont="1" applyBorder="1"/>
    <xf numFmtId="167" fontId="3" fillId="0" borderId="1" xfId="0" applyNumberFormat="1" applyFont="1" applyBorder="1" applyAlignment="1">
      <alignment vertical="top"/>
    </xf>
    <xf numFmtId="167" fontId="5" fillId="0" borderId="25" xfId="0" applyNumberFormat="1" applyFont="1" applyBorder="1"/>
    <xf numFmtId="0" fontId="17" fillId="0" borderId="9" xfId="0" applyFont="1" applyBorder="1"/>
    <xf numFmtId="0" fontId="3" fillId="2" borderId="7" xfId="0" applyFont="1" applyFill="1" applyBorder="1"/>
    <xf numFmtId="41" fontId="1" fillId="0" borderId="1" xfId="0" applyNumberFormat="1" applyFont="1" applyBorder="1" applyAlignment="1">
      <alignment vertical="top" wrapText="1"/>
    </xf>
    <xf numFmtId="0" fontId="5" fillId="19" borderId="30" xfId="0" applyFont="1" applyFill="1" applyBorder="1"/>
    <xf numFmtId="167" fontId="1" fillId="0" borderId="1" xfId="0" applyNumberFormat="1" applyFont="1" applyBorder="1" applyAlignment="1">
      <alignment vertical="top" wrapText="1"/>
    </xf>
    <xf numFmtId="0" fontId="5" fillId="19" borderId="28" xfId="0" applyFont="1" applyFill="1" applyBorder="1" applyAlignment="1">
      <alignment horizontal="left" vertical="top"/>
    </xf>
    <xf numFmtId="0" fontId="5" fillId="19" borderId="28" xfId="0" applyFont="1" applyFill="1" applyBorder="1"/>
    <xf numFmtId="0" fontId="1" fillId="0" borderId="1" xfId="0" applyFont="1" applyBorder="1" applyAlignment="1">
      <alignment vertical="top" wrapText="1"/>
    </xf>
    <xf numFmtId="167" fontId="5" fillId="19" borderId="28" xfId="0" applyNumberFormat="1" applyFont="1" applyFill="1" applyBorder="1"/>
    <xf numFmtId="167" fontId="1" fillId="4" borderId="1" xfId="0" applyNumberFormat="1" applyFont="1" applyFill="1" applyBorder="1" applyAlignment="1">
      <alignment vertical="top" wrapText="1"/>
    </xf>
    <xf numFmtId="167" fontId="5" fillId="0" borderId="1" xfId="0" applyNumberFormat="1" applyFont="1" applyBorder="1"/>
    <xf numFmtId="164" fontId="5" fillId="0" borderId="1" xfId="0" applyNumberFormat="1" applyFont="1" applyBorder="1"/>
    <xf numFmtId="167" fontId="1" fillId="0" borderId="1" xfId="0" applyNumberFormat="1" applyFont="1" applyBorder="1" applyAlignment="1">
      <alignment wrapText="1"/>
    </xf>
    <xf numFmtId="0" fontId="7" fillId="0" borderId="0" xfId="0" applyFont="1" applyAlignment="1">
      <alignment horizontal="left" vertical="top"/>
    </xf>
    <xf numFmtId="164" fontId="7" fillId="0" borderId="0" xfId="0" applyNumberFormat="1" applyFont="1"/>
    <xf numFmtId="0" fontId="9" fillId="0" borderId="0" xfId="0" applyFont="1"/>
    <xf numFmtId="41" fontId="3" fillId="0" borderId="1" xfId="0" applyNumberFormat="1" applyFont="1" applyBorder="1" applyAlignment="1">
      <alignment vertical="top" wrapText="1"/>
    </xf>
    <xf numFmtId="0" fontId="3" fillId="13" borderId="7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164" fontId="3" fillId="13" borderId="1" xfId="0" applyNumberFormat="1" applyFont="1" applyFill="1" applyBorder="1" applyAlignment="1">
      <alignment horizontal="left"/>
    </xf>
    <xf numFmtId="41" fontId="3" fillId="3" borderId="7" xfId="0" applyNumberFormat="1" applyFont="1" applyFill="1" applyBorder="1"/>
    <xf numFmtId="168" fontId="4" fillId="0" borderId="9" xfId="0" applyNumberFormat="1" applyFont="1" applyBorder="1"/>
    <xf numFmtId="168" fontId="4" fillId="0" borderId="31" xfId="0" applyNumberFormat="1" applyFont="1" applyBorder="1"/>
    <xf numFmtId="168" fontId="4" fillId="0" borderId="19" xfId="0" applyNumberFormat="1" applyFont="1" applyBorder="1"/>
    <xf numFmtId="0" fontId="1" fillId="0" borderId="32" xfId="0" applyFont="1" applyBorder="1"/>
    <xf numFmtId="0" fontId="1" fillId="0" borderId="33" xfId="0" applyFont="1" applyBorder="1"/>
    <xf numFmtId="0" fontId="1" fillId="0" borderId="34" xfId="0" applyFont="1" applyBorder="1"/>
    <xf numFmtId="164" fontId="4" fillId="0" borderId="34" xfId="0" applyNumberFormat="1" applyFont="1" applyBorder="1"/>
    <xf numFmtId="0" fontId="4" fillId="0" borderId="35" xfId="0" applyFont="1" applyBorder="1"/>
    <xf numFmtId="164" fontId="4" fillId="0" borderId="19" xfId="0" applyNumberFormat="1" applyFont="1" applyBorder="1"/>
    <xf numFmtId="0" fontId="4" fillId="0" borderId="19" xfId="0" applyFont="1" applyBorder="1"/>
    <xf numFmtId="164" fontId="4" fillId="0" borderId="0" xfId="0" applyNumberFormat="1" applyFont="1"/>
    <xf numFmtId="164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Z1005"/>
  <sheetViews>
    <sheetView zoomScale="70" zoomScaleNormal="70" workbookViewId="0">
      <pane xSplit="2" topLeftCell="C1" activePane="topRight" state="frozen"/>
      <selection pane="topRight" activeCell="D8" sqref="D8:D349"/>
    </sheetView>
  </sheetViews>
  <sheetFormatPr defaultColWidth="14.453125" defaultRowHeight="15" customHeight="1" x14ac:dyDescent="0.35"/>
  <cols>
    <col min="1" max="1" width="6.08984375" customWidth="1"/>
    <col min="2" max="2" width="31.08984375" customWidth="1"/>
    <col min="3" max="3" width="26.26953125" customWidth="1"/>
    <col min="4" max="4" width="17.08984375" customWidth="1"/>
    <col min="5" max="5" width="16.81640625" customWidth="1"/>
    <col min="6" max="6" width="15" customWidth="1"/>
    <col min="7" max="7" width="13.08984375" customWidth="1"/>
    <col min="8" max="8" width="15.7265625" customWidth="1"/>
    <col min="9" max="9" width="13.08984375" customWidth="1"/>
    <col min="10" max="10" width="16.453125" customWidth="1"/>
    <col min="11" max="11" width="13.81640625" customWidth="1"/>
    <col min="12" max="12" width="17.81640625" customWidth="1"/>
    <col min="13" max="13" width="17" customWidth="1"/>
    <col min="14" max="14" width="15.453125" customWidth="1"/>
    <col min="15" max="15" width="8.7265625" customWidth="1"/>
    <col min="16" max="17" width="8" customWidth="1"/>
    <col min="18" max="26" width="12.54296875" customWidth="1"/>
  </cols>
  <sheetData>
    <row r="1" spans="1:26" ht="42" customHeight="1" x14ac:dyDescent="0.35">
      <c r="A1" s="5" t="s">
        <v>1</v>
      </c>
      <c r="B1" s="9"/>
      <c r="C1" s="11"/>
      <c r="D1" s="11"/>
      <c r="E1" s="14"/>
      <c r="F1" s="14"/>
      <c r="G1" s="14"/>
      <c r="H1" s="14"/>
      <c r="I1" s="14"/>
      <c r="J1" s="14"/>
      <c r="K1" s="14"/>
      <c r="L1" s="11"/>
      <c r="M1" s="30"/>
      <c r="N1" s="30"/>
      <c r="O1" s="35"/>
      <c r="P1" s="35"/>
      <c r="Q1" s="35"/>
      <c r="R1" s="38"/>
      <c r="S1" s="38"/>
      <c r="T1" s="38"/>
      <c r="U1" s="38"/>
      <c r="V1" s="38"/>
      <c r="W1" s="38"/>
      <c r="X1" s="38"/>
      <c r="Y1" s="38"/>
      <c r="Z1" s="38"/>
    </row>
    <row r="2" spans="1:26" ht="24.75" customHeight="1" x14ac:dyDescent="0.35">
      <c r="A2" s="5" t="s">
        <v>13</v>
      </c>
      <c r="B2" s="9"/>
      <c r="C2" s="11"/>
      <c r="D2" s="11"/>
      <c r="E2" s="14"/>
      <c r="F2" s="14"/>
      <c r="G2" s="43"/>
      <c r="H2" s="14"/>
      <c r="I2" s="14"/>
      <c r="J2" s="14"/>
      <c r="K2" s="14"/>
      <c r="L2" s="11"/>
      <c r="M2" s="30"/>
      <c r="N2" s="30"/>
      <c r="O2" s="35"/>
      <c r="P2" s="35"/>
      <c r="Q2" s="35"/>
      <c r="R2" s="38"/>
      <c r="S2" s="38"/>
      <c r="T2" s="38"/>
      <c r="U2" s="38"/>
      <c r="V2" s="38"/>
      <c r="W2" s="38"/>
      <c r="X2" s="38"/>
      <c r="Y2" s="38"/>
      <c r="Z2" s="38"/>
    </row>
    <row r="3" spans="1:26" ht="16.5" customHeight="1" x14ac:dyDescent="0.35">
      <c r="A3" s="5" t="s">
        <v>12</v>
      </c>
      <c r="B3" s="9"/>
      <c r="C3" s="11"/>
      <c r="D3" s="11"/>
      <c r="E3" s="14"/>
      <c r="F3" s="14"/>
      <c r="G3" s="43"/>
      <c r="H3" s="14"/>
      <c r="I3" s="14"/>
      <c r="J3" s="14"/>
      <c r="K3" s="14"/>
      <c r="L3" s="11"/>
      <c r="M3" s="30"/>
      <c r="N3" s="30"/>
      <c r="O3" s="35"/>
      <c r="P3" s="35"/>
      <c r="Q3" s="35"/>
      <c r="R3" s="38"/>
      <c r="S3" s="38"/>
      <c r="T3" s="38"/>
      <c r="U3" s="38"/>
      <c r="V3" s="38"/>
      <c r="W3" s="38"/>
      <c r="X3" s="38"/>
      <c r="Y3" s="38"/>
      <c r="Z3" s="38"/>
    </row>
    <row r="4" spans="1:26" ht="24" customHeight="1" x14ac:dyDescent="0.35">
      <c r="A4" s="5" t="s">
        <v>24</v>
      </c>
      <c r="B4" s="9"/>
      <c r="C4" s="11"/>
      <c r="D4" s="11"/>
      <c r="E4" s="14" t="s">
        <v>19</v>
      </c>
      <c r="F4" s="14"/>
      <c r="G4" s="14"/>
      <c r="H4" s="14"/>
      <c r="I4" s="14"/>
      <c r="J4" s="14"/>
      <c r="K4" s="14"/>
      <c r="L4" s="11"/>
      <c r="M4" s="30"/>
      <c r="N4" s="30"/>
      <c r="O4" s="35"/>
      <c r="P4" s="35"/>
      <c r="Q4" s="35"/>
      <c r="R4" s="38"/>
      <c r="S4" s="38"/>
      <c r="T4" s="38"/>
      <c r="U4" s="38"/>
      <c r="V4" s="38"/>
      <c r="W4" s="38"/>
      <c r="X4" s="38"/>
      <c r="Y4" s="38"/>
      <c r="Z4" s="38"/>
    </row>
    <row r="5" spans="1:26" ht="13.5" customHeight="1" x14ac:dyDescent="0.35">
      <c r="A5" s="51"/>
      <c r="B5" s="38"/>
      <c r="C5" s="38"/>
      <c r="D5" s="53"/>
      <c r="E5" s="54"/>
      <c r="F5" s="55"/>
      <c r="G5" s="54"/>
      <c r="H5" s="54"/>
      <c r="I5" s="54"/>
      <c r="J5" s="54"/>
      <c r="K5" s="54"/>
      <c r="L5" s="58"/>
      <c r="M5" s="59"/>
      <c r="N5" s="30"/>
      <c r="O5" s="35"/>
      <c r="P5" s="35"/>
      <c r="Q5" s="35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 x14ac:dyDescent="0.35">
      <c r="A6" s="51"/>
      <c r="B6" s="51"/>
      <c r="C6" s="51"/>
      <c r="D6" s="58"/>
      <c r="E6" s="54"/>
      <c r="F6" s="54"/>
      <c r="G6" s="54"/>
      <c r="H6" s="54"/>
      <c r="I6" s="54"/>
      <c r="J6" s="54"/>
      <c r="K6" s="54"/>
      <c r="L6" s="58"/>
      <c r="M6" s="30"/>
      <c r="N6" s="65"/>
      <c r="O6" s="35"/>
      <c r="P6" s="35"/>
      <c r="Q6" s="35"/>
      <c r="R6" s="38"/>
      <c r="S6" s="38"/>
      <c r="T6" s="38"/>
      <c r="U6" s="38"/>
      <c r="V6" s="38"/>
      <c r="W6" s="38"/>
      <c r="X6" s="38"/>
      <c r="Y6" s="38"/>
      <c r="Z6" s="38"/>
    </row>
    <row r="7" spans="1:26" ht="29.25" customHeight="1" x14ac:dyDescent="0.35">
      <c r="A7" s="67"/>
      <c r="B7" s="68" t="s">
        <v>3</v>
      </c>
      <c r="C7" s="70" t="s">
        <v>33</v>
      </c>
      <c r="D7" s="72" t="s">
        <v>53</v>
      </c>
      <c r="E7" s="75" t="s">
        <v>41</v>
      </c>
      <c r="F7" s="76" t="s">
        <v>43</v>
      </c>
      <c r="G7" s="76" t="s">
        <v>44</v>
      </c>
      <c r="H7" s="75" t="s">
        <v>45</v>
      </c>
      <c r="I7" s="75" t="s">
        <v>46</v>
      </c>
      <c r="J7" s="75" t="s">
        <v>47</v>
      </c>
      <c r="K7" s="75" t="s">
        <v>56</v>
      </c>
      <c r="L7" s="80" t="s">
        <v>57</v>
      </c>
      <c r="M7" s="65"/>
      <c r="N7" s="65"/>
      <c r="O7" s="35"/>
      <c r="P7" s="35"/>
      <c r="Q7" s="35"/>
      <c r="R7" s="38"/>
      <c r="S7" s="38"/>
      <c r="T7" s="38"/>
      <c r="U7" s="38"/>
      <c r="V7" s="38"/>
      <c r="W7" s="38"/>
      <c r="X7" s="38"/>
      <c r="Y7" s="38"/>
      <c r="Z7" s="38"/>
    </row>
    <row r="8" spans="1:26" ht="15.5" x14ac:dyDescent="0.35">
      <c r="A8" s="88">
        <v>1</v>
      </c>
      <c r="B8" s="11" t="s">
        <v>59</v>
      </c>
      <c r="C8" s="11" t="s">
        <v>62</v>
      </c>
      <c r="D8" s="89"/>
      <c r="E8" s="90"/>
      <c r="F8" s="90"/>
      <c r="G8" s="90"/>
      <c r="H8" s="90"/>
      <c r="I8" s="90"/>
      <c r="J8" s="90"/>
      <c r="K8" s="90"/>
      <c r="L8" s="94">
        <f>D8-E8-F8-G8-H8-I8-J8-K8</f>
        <v>0</v>
      </c>
      <c r="M8" s="96">
        <f>E8+F8+G8+H8+I8+J8+K8+L8</f>
        <v>0</v>
      </c>
      <c r="N8" s="96">
        <f>D8-M8</f>
        <v>0</v>
      </c>
      <c r="O8" s="35"/>
      <c r="P8" s="35"/>
      <c r="Q8" s="35"/>
      <c r="R8" s="38"/>
      <c r="S8" s="38"/>
      <c r="T8" s="38"/>
      <c r="U8" s="38"/>
      <c r="V8" s="38"/>
      <c r="W8" s="38"/>
      <c r="X8" s="38"/>
      <c r="Y8" s="38"/>
      <c r="Z8" s="38"/>
    </row>
    <row r="9" spans="1:26" ht="15.5" x14ac:dyDescent="0.35">
      <c r="A9" s="88">
        <v>2</v>
      </c>
      <c r="B9" s="99" t="s">
        <v>76</v>
      </c>
      <c r="C9" s="101" t="s">
        <v>79</v>
      </c>
      <c r="D9" s="89"/>
      <c r="E9" s="43"/>
      <c r="F9" s="43"/>
      <c r="G9" s="43"/>
      <c r="H9" s="43"/>
      <c r="I9" s="43"/>
      <c r="J9" s="43"/>
      <c r="K9" s="43"/>
      <c r="L9" s="94">
        <f t="shared" ref="L9:L198" si="0">D9-E9-F9-G9-H9-I9-J9-K9</f>
        <v>0</v>
      </c>
      <c r="M9" s="96">
        <f t="shared" ref="M9:M198" si="1">E9+F9+G9+H9+I9+J9+K9+L9</f>
        <v>0</v>
      </c>
      <c r="N9" s="96">
        <f t="shared" ref="N9:N198" si="2">D9-M9</f>
        <v>0</v>
      </c>
      <c r="O9" s="35"/>
      <c r="P9" s="35"/>
      <c r="Q9" s="35"/>
      <c r="R9" s="38"/>
      <c r="S9" s="38"/>
      <c r="T9" s="38"/>
      <c r="U9" s="38"/>
      <c r="V9" s="38"/>
      <c r="W9" s="38"/>
      <c r="X9" s="38"/>
      <c r="Y9" s="38"/>
      <c r="Z9" s="38"/>
    </row>
    <row r="10" spans="1:26" ht="15.5" x14ac:dyDescent="0.35">
      <c r="A10" s="88">
        <v>3</v>
      </c>
      <c r="B10" s="11" t="s">
        <v>74</v>
      </c>
      <c r="C10" s="11" t="s">
        <v>88</v>
      </c>
      <c r="D10" s="89"/>
      <c r="E10" s="43"/>
      <c r="F10" s="43"/>
      <c r="G10" s="43"/>
      <c r="H10" s="43"/>
      <c r="I10" s="43"/>
      <c r="J10" s="43"/>
      <c r="K10" s="43"/>
      <c r="L10" s="94">
        <f t="shared" si="0"/>
        <v>0</v>
      </c>
      <c r="M10" s="96">
        <f t="shared" si="1"/>
        <v>0</v>
      </c>
      <c r="N10" s="96">
        <f t="shared" si="2"/>
        <v>0</v>
      </c>
      <c r="O10" s="35"/>
      <c r="P10" s="35"/>
      <c r="Q10" s="35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5.5" x14ac:dyDescent="0.35">
      <c r="A11" s="88">
        <v>4</v>
      </c>
      <c r="B11" s="99" t="s">
        <v>96</v>
      </c>
      <c r="C11" s="99" t="s">
        <v>79</v>
      </c>
      <c r="D11" s="89"/>
      <c r="E11" s="90"/>
      <c r="F11" s="90"/>
      <c r="G11" s="90"/>
      <c r="H11" s="90"/>
      <c r="I11" s="90"/>
      <c r="J11" s="90"/>
      <c r="K11" s="90"/>
      <c r="L11" s="94">
        <f t="shared" si="0"/>
        <v>0</v>
      </c>
      <c r="M11" s="96">
        <f t="shared" si="1"/>
        <v>0</v>
      </c>
      <c r="N11" s="96">
        <f t="shared" si="2"/>
        <v>0</v>
      </c>
      <c r="O11" s="35"/>
      <c r="P11" s="35"/>
      <c r="Q11" s="35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5.5" x14ac:dyDescent="0.35">
      <c r="A12" s="88">
        <v>5</v>
      </c>
      <c r="B12" s="99" t="s">
        <v>103</v>
      </c>
      <c r="C12" s="99" t="s">
        <v>108</v>
      </c>
      <c r="D12" s="89"/>
      <c r="E12" s="43"/>
      <c r="F12" s="43"/>
      <c r="G12" s="43"/>
      <c r="H12" s="43"/>
      <c r="I12" s="43"/>
      <c r="J12" s="43"/>
      <c r="K12" s="43"/>
      <c r="L12" s="94">
        <f t="shared" si="0"/>
        <v>0</v>
      </c>
      <c r="M12" s="96">
        <f t="shared" si="1"/>
        <v>0</v>
      </c>
      <c r="N12" s="96">
        <f t="shared" si="2"/>
        <v>0</v>
      </c>
      <c r="O12" s="35"/>
      <c r="P12" s="35"/>
      <c r="Q12" s="35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5.5" x14ac:dyDescent="0.35">
      <c r="A13" s="88">
        <v>6</v>
      </c>
      <c r="B13" s="99" t="s">
        <v>112</v>
      </c>
      <c r="C13" s="99" t="s">
        <v>113</v>
      </c>
      <c r="D13" s="89"/>
      <c r="E13" s="43"/>
      <c r="F13" s="43"/>
      <c r="G13" s="43"/>
      <c r="H13" s="43"/>
      <c r="I13" s="43"/>
      <c r="J13" s="43"/>
      <c r="K13" s="43"/>
      <c r="L13" s="94">
        <f t="shared" si="0"/>
        <v>0</v>
      </c>
      <c r="M13" s="96">
        <f t="shared" si="1"/>
        <v>0</v>
      </c>
      <c r="N13" s="96">
        <f t="shared" si="2"/>
        <v>0</v>
      </c>
      <c r="O13" s="35"/>
      <c r="P13" s="35"/>
      <c r="Q13" s="35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5.5" x14ac:dyDescent="0.35">
      <c r="A14" s="88">
        <v>7</v>
      </c>
      <c r="B14" s="99" t="s">
        <v>124</v>
      </c>
      <c r="C14" s="99" t="s">
        <v>79</v>
      </c>
      <c r="D14" s="89"/>
      <c r="E14" s="90"/>
      <c r="F14" s="90"/>
      <c r="G14" s="90"/>
      <c r="H14" s="90"/>
      <c r="I14" s="90"/>
      <c r="J14" s="90"/>
      <c r="K14" s="90"/>
      <c r="L14" s="94">
        <f t="shared" si="0"/>
        <v>0</v>
      </c>
      <c r="M14" s="96">
        <f t="shared" si="1"/>
        <v>0</v>
      </c>
      <c r="N14" s="96">
        <f t="shared" si="2"/>
        <v>0</v>
      </c>
      <c r="O14" s="35"/>
      <c r="P14" s="35"/>
      <c r="Q14" s="35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5.5" x14ac:dyDescent="0.35">
      <c r="A15" s="88">
        <v>8</v>
      </c>
      <c r="B15" s="99" t="s">
        <v>129</v>
      </c>
      <c r="C15" s="99" t="s">
        <v>134</v>
      </c>
      <c r="D15" s="89"/>
      <c r="E15" s="43"/>
      <c r="F15" s="43"/>
      <c r="G15" s="43"/>
      <c r="H15" s="43"/>
      <c r="I15" s="43"/>
      <c r="J15" s="43"/>
      <c r="K15" s="43"/>
      <c r="L15" s="94">
        <f t="shared" si="0"/>
        <v>0</v>
      </c>
      <c r="M15" s="96">
        <f t="shared" si="1"/>
        <v>0</v>
      </c>
      <c r="N15" s="96">
        <f t="shared" si="2"/>
        <v>0</v>
      </c>
      <c r="O15" s="35"/>
      <c r="P15" s="35"/>
      <c r="Q15" s="35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5.5" x14ac:dyDescent="0.35">
      <c r="A16" s="88">
        <v>9</v>
      </c>
      <c r="B16" s="99" t="s">
        <v>139</v>
      </c>
      <c r="C16" s="101" t="s">
        <v>143</v>
      </c>
      <c r="D16" s="89"/>
      <c r="E16" s="90"/>
      <c r="F16" s="90"/>
      <c r="G16" s="90"/>
      <c r="H16" s="90"/>
      <c r="I16" s="90"/>
      <c r="J16" s="90"/>
      <c r="K16" s="90"/>
      <c r="L16" s="94">
        <f t="shared" si="0"/>
        <v>0</v>
      </c>
      <c r="M16" s="96">
        <f t="shared" si="1"/>
        <v>0</v>
      </c>
      <c r="N16" s="96">
        <f t="shared" si="2"/>
        <v>0</v>
      </c>
      <c r="O16" s="35"/>
      <c r="P16" s="35"/>
      <c r="Q16" s="35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3.5" customHeight="1" x14ac:dyDescent="0.35">
      <c r="A17" s="88">
        <v>10</v>
      </c>
      <c r="B17" s="11" t="s">
        <v>145</v>
      </c>
      <c r="C17" s="11" t="s">
        <v>146</v>
      </c>
      <c r="D17" s="89"/>
      <c r="E17" s="43"/>
      <c r="F17" s="43"/>
      <c r="G17" s="43"/>
      <c r="H17" s="43"/>
      <c r="I17" s="43"/>
      <c r="J17" s="43"/>
      <c r="K17" s="43"/>
      <c r="L17" s="94">
        <f t="shared" si="0"/>
        <v>0</v>
      </c>
      <c r="M17" s="96">
        <f t="shared" si="1"/>
        <v>0</v>
      </c>
      <c r="N17" s="96">
        <f t="shared" si="2"/>
        <v>0</v>
      </c>
      <c r="O17" s="35"/>
      <c r="P17" s="35"/>
      <c r="Q17" s="35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5.5" x14ac:dyDescent="0.35">
      <c r="A18" s="88">
        <v>11</v>
      </c>
      <c r="B18" s="99" t="s">
        <v>52</v>
      </c>
      <c r="C18" s="99" t="s">
        <v>157</v>
      </c>
      <c r="D18" s="89"/>
      <c r="E18" s="43"/>
      <c r="F18" s="14"/>
      <c r="G18" s="43"/>
      <c r="H18" s="14"/>
      <c r="I18" s="43"/>
      <c r="J18" s="43"/>
      <c r="K18" s="14"/>
      <c r="L18" s="94">
        <f t="shared" si="0"/>
        <v>0</v>
      </c>
      <c r="M18" s="96">
        <f t="shared" si="1"/>
        <v>0</v>
      </c>
      <c r="N18" s="96">
        <f t="shared" si="2"/>
        <v>0</v>
      </c>
      <c r="O18" s="35"/>
      <c r="P18" s="35"/>
      <c r="Q18" s="35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5.5" x14ac:dyDescent="0.35">
      <c r="A19" s="88">
        <v>12</v>
      </c>
      <c r="B19" s="99" t="s">
        <v>135</v>
      </c>
      <c r="C19" s="101" t="s">
        <v>140</v>
      </c>
      <c r="D19" s="89"/>
      <c r="E19" s="90"/>
      <c r="F19" s="120"/>
      <c r="G19" s="90"/>
      <c r="H19" s="90"/>
      <c r="I19" s="90"/>
      <c r="J19" s="90"/>
      <c r="K19" s="120"/>
      <c r="L19" s="94">
        <f t="shared" si="0"/>
        <v>0</v>
      </c>
      <c r="M19" s="96">
        <f t="shared" si="1"/>
        <v>0</v>
      </c>
      <c r="N19" s="96">
        <f t="shared" si="2"/>
        <v>0</v>
      </c>
      <c r="O19" s="35"/>
      <c r="P19" s="35"/>
      <c r="Q19" s="35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5.5" x14ac:dyDescent="0.35">
      <c r="A20" s="88">
        <v>13</v>
      </c>
      <c r="B20" s="99" t="s">
        <v>171</v>
      </c>
      <c r="C20" s="99" t="s">
        <v>172</v>
      </c>
      <c r="D20" s="89"/>
      <c r="E20" s="43"/>
      <c r="F20" s="43"/>
      <c r="G20" s="43"/>
      <c r="I20" s="43"/>
      <c r="J20" s="43"/>
      <c r="K20" s="43"/>
      <c r="L20" s="94">
        <f t="shared" si="0"/>
        <v>0</v>
      </c>
      <c r="M20" s="96">
        <f t="shared" si="1"/>
        <v>0</v>
      </c>
      <c r="N20" s="96">
        <f t="shared" si="2"/>
        <v>0</v>
      </c>
      <c r="O20" s="35"/>
      <c r="P20" s="35"/>
      <c r="Q20" s="35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4.25" customHeight="1" x14ac:dyDescent="0.35">
      <c r="A21" s="88">
        <v>14</v>
      </c>
      <c r="B21" s="99" t="s">
        <v>178</v>
      </c>
      <c r="C21" s="99" t="s">
        <v>179</v>
      </c>
      <c r="D21" s="89"/>
      <c r="E21" s="43"/>
      <c r="F21" s="43"/>
      <c r="G21" s="43"/>
      <c r="I21" s="43"/>
      <c r="J21" s="43"/>
      <c r="K21" s="43"/>
      <c r="L21" s="94">
        <f t="shared" si="0"/>
        <v>0</v>
      </c>
      <c r="M21" s="96">
        <f t="shared" si="1"/>
        <v>0</v>
      </c>
      <c r="N21" s="96">
        <f t="shared" si="2"/>
        <v>0</v>
      </c>
      <c r="O21" s="35"/>
      <c r="P21" s="35"/>
      <c r="Q21" s="35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7.25" customHeight="1" x14ac:dyDescent="0.35">
      <c r="A22" s="88">
        <v>15</v>
      </c>
      <c r="B22" s="99" t="s">
        <v>187</v>
      </c>
      <c r="C22" s="99" t="s">
        <v>188</v>
      </c>
      <c r="D22" s="122"/>
      <c r="E22" s="43"/>
      <c r="F22" s="43"/>
      <c r="G22" s="43"/>
      <c r="I22" s="43"/>
      <c r="J22" s="43"/>
      <c r="K22" s="123"/>
      <c r="L22" s="94">
        <f t="shared" si="0"/>
        <v>0</v>
      </c>
      <c r="M22" s="96">
        <f t="shared" si="1"/>
        <v>0</v>
      </c>
      <c r="N22" s="96">
        <f t="shared" si="2"/>
        <v>0</v>
      </c>
      <c r="O22" s="35"/>
      <c r="P22" s="35"/>
      <c r="Q22" s="35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4.25" customHeight="1" x14ac:dyDescent="0.35">
      <c r="A23" s="88">
        <v>16</v>
      </c>
      <c r="B23" s="11" t="s">
        <v>194</v>
      </c>
      <c r="C23" s="11" t="s">
        <v>195</v>
      </c>
      <c r="D23" s="89"/>
      <c r="E23" s="43"/>
      <c r="F23" s="14"/>
      <c r="G23" s="43"/>
      <c r="I23" s="43"/>
      <c r="J23" s="43"/>
      <c r="K23" s="43"/>
      <c r="L23" s="94">
        <f t="shared" si="0"/>
        <v>0</v>
      </c>
      <c r="M23" s="96">
        <f t="shared" si="1"/>
        <v>0</v>
      </c>
      <c r="N23" s="96">
        <f t="shared" si="2"/>
        <v>0</v>
      </c>
      <c r="O23" s="35"/>
      <c r="P23" s="35"/>
      <c r="Q23" s="35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5.75" customHeight="1" x14ac:dyDescent="0.35">
      <c r="A24" s="88">
        <v>17</v>
      </c>
      <c r="B24" s="99" t="s">
        <v>65</v>
      </c>
      <c r="C24" s="99" t="s">
        <v>203</v>
      </c>
      <c r="D24" s="89"/>
      <c r="E24" s="14"/>
      <c r="F24" s="43"/>
      <c r="G24" s="43"/>
      <c r="I24" s="43"/>
      <c r="J24" s="43"/>
      <c r="K24" s="43"/>
      <c r="L24" s="94">
        <f t="shared" si="0"/>
        <v>0</v>
      </c>
      <c r="M24" s="96">
        <f t="shared" si="1"/>
        <v>0</v>
      </c>
      <c r="N24" s="96">
        <f t="shared" si="2"/>
        <v>0</v>
      </c>
      <c r="O24" s="35"/>
      <c r="P24" s="35"/>
      <c r="Q24" s="35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5" customHeight="1" x14ac:dyDescent="0.35">
      <c r="A25" s="88">
        <v>18</v>
      </c>
      <c r="B25" s="99" t="s">
        <v>69</v>
      </c>
      <c r="C25" s="99" t="s">
        <v>211</v>
      </c>
      <c r="D25" s="89"/>
      <c r="E25" s="14"/>
      <c r="F25" s="43"/>
      <c r="G25" s="43"/>
      <c r="I25" s="43"/>
      <c r="J25" s="43"/>
      <c r="K25" s="43"/>
      <c r="L25" s="94">
        <f t="shared" si="0"/>
        <v>0</v>
      </c>
      <c r="M25" s="96">
        <f t="shared" si="1"/>
        <v>0</v>
      </c>
      <c r="N25" s="96">
        <f t="shared" si="2"/>
        <v>0</v>
      </c>
      <c r="O25" s="35"/>
      <c r="P25" s="35"/>
      <c r="Q25" s="35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5.75" customHeight="1" x14ac:dyDescent="0.35">
      <c r="A26" s="88">
        <v>19</v>
      </c>
      <c r="B26" s="99" t="s">
        <v>219</v>
      </c>
      <c r="C26" s="99" t="s">
        <v>220</v>
      </c>
      <c r="D26" s="89"/>
      <c r="E26" s="43"/>
      <c r="F26" s="43"/>
      <c r="G26" s="43"/>
      <c r="H26" s="43"/>
      <c r="I26" s="43"/>
      <c r="J26" s="43"/>
      <c r="K26" s="43"/>
      <c r="L26" s="94">
        <f t="shared" si="0"/>
        <v>0</v>
      </c>
      <c r="M26" s="96">
        <f t="shared" si="1"/>
        <v>0</v>
      </c>
      <c r="N26" s="96">
        <f t="shared" si="2"/>
        <v>0</v>
      </c>
      <c r="O26" s="35"/>
      <c r="P26" s="35"/>
      <c r="Q26" s="35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5.75" customHeight="1" x14ac:dyDescent="0.35">
      <c r="A27" s="88">
        <v>20</v>
      </c>
      <c r="B27" s="11" t="s">
        <v>231</v>
      </c>
      <c r="C27" s="11"/>
      <c r="D27" s="89"/>
      <c r="E27" s="43"/>
      <c r="F27" s="43"/>
      <c r="G27" s="43"/>
      <c r="H27" s="43"/>
      <c r="I27" s="43"/>
      <c r="J27" s="43"/>
      <c r="K27" s="43"/>
      <c r="L27" s="94">
        <f t="shared" si="0"/>
        <v>0</v>
      </c>
      <c r="M27" s="96">
        <f t="shared" si="1"/>
        <v>0</v>
      </c>
      <c r="N27" s="96">
        <f t="shared" si="2"/>
        <v>0</v>
      </c>
      <c r="O27" s="35"/>
      <c r="P27" s="35"/>
      <c r="Q27" s="35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5.75" customHeight="1" x14ac:dyDescent="0.35">
      <c r="A28" s="88">
        <v>21</v>
      </c>
      <c r="B28" s="11" t="s">
        <v>222</v>
      </c>
      <c r="C28" s="11" t="s">
        <v>223</v>
      </c>
      <c r="D28" s="89"/>
      <c r="E28" s="43"/>
      <c r="F28" s="43"/>
      <c r="G28" s="43"/>
      <c r="H28" s="43"/>
      <c r="I28" s="43"/>
      <c r="J28" s="43"/>
      <c r="K28" s="43"/>
      <c r="L28" s="94">
        <f t="shared" si="0"/>
        <v>0</v>
      </c>
      <c r="M28" s="96">
        <f t="shared" si="1"/>
        <v>0</v>
      </c>
      <c r="N28" s="96">
        <f t="shared" si="2"/>
        <v>0</v>
      </c>
      <c r="O28" s="35"/>
      <c r="P28" s="35"/>
      <c r="Q28" s="35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3.5" customHeight="1" x14ac:dyDescent="0.35">
      <c r="A29" s="88">
        <v>22</v>
      </c>
      <c r="B29" s="11" t="s">
        <v>229</v>
      </c>
      <c r="C29" s="11" t="s">
        <v>230</v>
      </c>
      <c r="D29" s="89"/>
      <c r="E29" s="43"/>
      <c r="F29" s="43"/>
      <c r="G29" s="43"/>
      <c r="H29" s="43"/>
      <c r="I29" s="43"/>
      <c r="J29" s="43"/>
      <c r="K29" s="43"/>
      <c r="L29" s="94">
        <f t="shared" si="0"/>
        <v>0</v>
      </c>
      <c r="M29" s="96">
        <f t="shared" si="1"/>
        <v>0</v>
      </c>
      <c r="N29" s="96">
        <f t="shared" si="2"/>
        <v>0</v>
      </c>
      <c r="O29" s="35"/>
      <c r="P29" s="35"/>
      <c r="Q29" s="35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4.25" customHeight="1" x14ac:dyDescent="0.35">
      <c r="A30" s="88">
        <v>23</v>
      </c>
      <c r="B30" s="11" t="s">
        <v>235</v>
      </c>
      <c r="C30" s="11" t="s">
        <v>146</v>
      </c>
      <c r="D30" s="89"/>
      <c r="E30" s="43"/>
      <c r="F30" s="43"/>
      <c r="G30" s="43"/>
      <c r="I30" s="43"/>
      <c r="J30" s="43"/>
      <c r="K30" s="43"/>
      <c r="L30" s="94">
        <f t="shared" si="0"/>
        <v>0</v>
      </c>
      <c r="M30" s="96">
        <f t="shared" si="1"/>
        <v>0</v>
      </c>
      <c r="N30" s="96">
        <f t="shared" si="2"/>
        <v>0</v>
      </c>
      <c r="O30" s="35"/>
      <c r="P30" s="35"/>
      <c r="Q30" s="35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4.25" customHeight="1" x14ac:dyDescent="0.35">
      <c r="A31" s="88">
        <v>24</v>
      </c>
      <c r="B31" s="99" t="s">
        <v>238</v>
      </c>
      <c r="C31" s="99" t="s">
        <v>259</v>
      </c>
      <c r="D31" s="89"/>
      <c r="E31" s="43"/>
      <c r="F31" s="43"/>
      <c r="G31" s="43"/>
      <c r="I31" s="43"/>
      <c r="J31" s="43"/>
      <c r="K31" s="43"/>
      <c r="L31" s="94">
        <f t="shared" si="0"/>
        <v>0</v>
      </c>
      <c r="M31" s="96">
        <f t="shared" si="1"/>
        <v>0</v>
      </c>
      <c r="N31" s="96">
        <f t="shared" si="2"/>
        <v>0</v>
      </c>
      <c r="O31" s="35"/>
      <c r="P31" s="35"/>
      <c r="Q31" s="35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5" customHeight="1" x14ac:dyDescent="0.35">
      <c r="A32" s="88">
        <v>25</v>
      </c>
      <c r="B32" s="11" t="s">
        <v>266</v>
      </c>
      <c r="C32" s="11" t="s">
        <v>245</v>
      </c>
      <c r="D32" s="89"/>
      <c r="E32" s="43"/>
      <c r="F32" s="43"/>
      <c r="G32" s="43"/>
      <c r="I32" s="43"/>
      <c r="J32" s="43"/>
      <c r="K32" s="43"/>
      <c r="L32" s="94">
        <f t="shared" si="0"/>
        <v>0</v>
      </c>
      <c r="M32" s="96">
        <f t="shared" si="1"/>
        <v>0</v>
      </c>
      <c r="N32" s="96">
        <f t="shared" si="2"/>
        <v>0</v>
      </c>
      <c r="O32" s="35"/>
      <c r="P32" s="35"/>
      <c r="Q32" s="35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3.5" customHeight="1" x14ac:dyDescent="0.35">
      <c r="A33" s="88">
        <v>26</v>
      </c>
      <c r="B33" s="99" t="s">
        <v>250</v>
      </c>
      <c r="C33" s="129" t="s">
        <v>277</v>
      </c>
      <c r="D33" s="89"/>
      <c r="E33" s="43"/>
      <c r="F33" s="43"/>
      <c r="G33" s="43"/>
      <c r="I33" s="43"/>
      <c r="J33" s="43"/>
      <c r="K33" s="43"/>
      <c r="L33" s="94">
        <f t="shared" si="0"/>
        <v>0</v>
      </c>
      <c r="M33" s="96">
        <f t="shared" si="1"/>
        <v>0</v>
      </c>
      <c r="N33" s="96">
        <f t="shared" si="2"/>
        <v>0</v>
      </c>
      <c r="O33" s="35"/>
      <c r="P33" s="35"/>
      <c r="Q33" s="35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4.25" customHeight="1" x14ac:dyDescent="0.35">
      <c r="A34" s="88">
        <v>27</v>
      </c>
      <c r="B34" s="11" t="s">
        <v>256</v>
      </c>
      <c r="C34" s="11" t="s">
        <v>257</v>
      </c>
      <c r="D34" s="89"/>
      <c r="E34" s="43"/>
      <c r="F34" s="14"/>
      <c r="G34" s="43"/>
      <c r="I34" s="43"/>
      <c r="J34" s="43"/>
      <c r="K34" s="43"/>
      <c r="L34" s="94">
        <f t="shared" si="0"/>
        <v>0</v>
      </c>
      <c r="M34" s="96">
        <f t="shared" si="1"/>
        <v>0</v>
      </c>
      <c r="N34" s="96">
        <f t="shared" si="2"/>
        <v>0</v>
      </c>
      <c r="O34" s="35"/>
      <c r="P34" s="35"/>
      <c r="Q34" s="35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5.75" customHeight="1" x14ac:dyDescent="0.35">
      <c r="A35" s="88">
        <v>28</v>
      </c>
      <c r="B35" s="99" t="s">
        <v>263</v>
      </c>
      <c r="C35" s="101" t="s">
        <v>294</v>
      </c>
      <c r="D35" s="89"/>
      <c r="E35" s="43"/>
      <c r="F35" s="43"/>
      <c r="G35" s="43"/>
      <c r="I35" s="43"/>
      <c r="J35" s="43"/>
      <c r="K35" s="43"/>
      <c r="L35" s="94">
        <f t="shared" si="0"/>
        <v>0</v>
      </c>
      <c r="M35" s="96">
        <f t="shared" si="1"/>
        <v>0</v>
      </c>
      <c r="N35" s="96">
        <f t="shared" si="2"/>
        <v>0</v>
      </c>
      <c r="O35" s="35"/>
      <c r="P35" s="35"/>
      <c r="Q35" s="35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3.5" customHeight="1" x14ac:dyDescent="0.35">
      <c r="A36" s="88">
        <v>29</v>
      </c>
      <c r="B36" s="11" t="s">
        <v>269</v>
      </c>
      <c r="C36" s="11" t="s">
        <v>164</v>
      </c>
      <c r="D36" s="89"/>
      <c r="E36" s="43"/>
      <c r="F36" s="43"/>
      <c r="G36" s="43"/>
      <c r="H36" s="43"/>
      <c r="I36" s="43"/>
      <c r="J36" s="43"/>
      <c r="K36" s="43"/>
      <c r="L36" s="94">
        <f t="shared" si="0"/>
        <v>0</v>
      </c>
      <c r="M36" s="96">
        <f t="shared" si="1"/>
        <v>0</v>
      </c>
      <c r="N36" s="96">
        <f t="shared" si="2"/>
        <v>0</v>
      </c>
      <c r="O36" s="35"/>
      <c r="P36" s="35"/>
      <c r="Q36" s="35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4.25" customHeight="1" x14ac:dyDescent="0.35">
      <c r="A37" s="88">
        <v>30</v>
      </c>
      <c r="B37" s="99" t="s">
        <v>297</v>
      </c>
      <c r="C37" s="11"/>
      <c r="D37" s="89"/>
      <c r="E37" s="43"/>
      <c r="F37" s="43"/>
      <c r="G37" s="43"/>
      <c r="H37" s="43"/>
      <c r="I37" s="43"/>
      <c r="J37" s="43"/>
      <c r="K37" s="43"/>
      <c r="L37" s="94">
        <f t="shared" si="0"/>
        <v>0</v>
      </c>
      <c r="M37" s="96">
        <f t="shared" si="1"/>
        <v>0</v>
      </c>
      <c r="N37" s="96">
        <f t="shared" si="2"/>
        <v>0</v>
      </c>
      <c r="O37" s="35"/>
      <c r="P37" s="35"/>
      <c r="Q37" s="35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3.5" customHeight="1" x14ac:dyDescent="0.35">
      <c r="A38" s="88">
        <v>31</v>
      </c>
      <c r="B38" s="99" t="s">
        <v>286</v>
      </c>
      <c r="C38" s="11" t="s">
        <v>287</v>
      </c>
      <c r="D38" s="89"/>
      <c r="E38" s="90"/>
      <c r="F38" s="130"/>
      <c r="G38" s="90"/>
      <c r="H38" s="130"/>
      <c r="I38" s="90"/>
      <c r="J38" s="90"/>
      <c r="K38" s="131"/>
      <c r="L38" s="94">
        <f t="shared" si="0"/>
        <v>0</v>
      </c>
      <c r="M38" s="96">
        <f t="shared" si="1"/>
        <v>0</v>
      </c>
      <c r="N38" s="96">
        <f t="shared" si="2"/>
        <v>0</v>
      </c>
      <c r="O38" s="35"/>
      <c r="P38" s="35"/>
      <c r="Q38" s="35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8" customHeight="1" x14ac:dyDescent="0.35">
      <c r="A39" s="88">
        <v>32</v>
      </c>
      <c r="B39" s="99" t="s">
        <v>291</v>
      </c>
      <c r="C39" s="101" t="s">
        <v>326</v>
      </c>
      <c r="D39" s="89"/>
      <c r="E39" s="43"/>
      <c r="F39" s="43"/>
      <c r="G39" s="43"/>
      <c r="H39" s="43"/>
      <c r="I39" s="43"/>
      <c r="J39" s="43"/>
      <c r="K39" s="14"/>
      <c r="L39" s="94">
        <f t="shared" si="0"/>
        <v>0</v>
      </c>
      <c r="M39" s="96">
        <f t="shared" si="1"/>
        <v>0</v>
      </c>
      <c r="N39" s="96">
        <f t="shared" si="2"/>
        <v>0</v>
      </c>
      <c r="O39" s="35"/>
      <c r="P39" s="35"/>
      <c r="Q39" s="35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3.5" customHeight="1" x14ac:dyDescent="0.35">
      <c r="A40" s="88">
        <v>33</v>
      </c>
      <c r="B40" s="11" t="s">
        <v>303</v>
      </c>
      <c r="C40" s="11" t="s">
        <v>304</v>
      </c>
      <c r="D40" s="89"/>
      <c r="E40" s="43"/>
      <c r="F40" s="133"/>
      <c r="G40" s="43"/>
      <c r="H40" s="133"/>
      <c r="I40" s="43"/>
      <c r="J40" s="43"/>
      <c r="K40" s="123"/>
      <c r="L40" s="94">
        <f t="shared" si="0"/>
        <v>0</v>
      </c>
      <c r="M40" s="96">
        <f t="shared" si="1"/>
        <v>0</v>
      </c>
      <c r="N40" s="96">
        <f t="shared" si="2"/>
        <v>0</v>
      </c>
      <c r="O40" s="35"/>
      <c r="P40" s="35"/>
      <c r="Q40" s="35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4.25" customHeight="1" x14ac:dyDescent="0.35">
      <c r="A41" s="88">
        <v>34</v>
      </c>
      <c r="B41" s="11" t="s">
        <v>293</v>
      </c>
      <c r="C41" s="11" t="s">
        <v>113</v>
      </c>
      <c r="D41" s="89"/>
      <c r="E41" s="43"/>
      <c r="F41" s="43"/>
      <c r="G41" s="43"/>
      <c r="H41" s="43"/>
      <c r="I41" s="43"/>
      <c r="J41" s="43"/>
      <c r="K41" s="43"/>
      <c r="L41" s="94">
        <f t="shared" si="0"/>
        <v>0</v>
      </c>
      <c r="M41" s="96">
        <f t="shared" si="1"/>
        <v>0</v>
      </c>
      <c r="N41" s="96">
        <f t="shared" si="2"/>
        <v>0</v>
      </c>
      <c r="O41" s="35"/>
      <c r="P41" s="35"/>
      <c r="Q41" s="35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5.75" customHeight="1" x14ac:dyDescent="0.35">
      <c r="A42" s="88">
        <v>35</v>
      </c>
      <c r="B42" s="99" t="s">
        <v>316</v>
      </c>
      <c r="C42" s="11" t="s">
        <v>317</v>
      </c>
      <c r="D42" s="89"/>
      <c r="E42" s="43"/>
      <c r="F42" s="43"/>
      <c r="G42" s="43"/>
      <c r="H42" s="43"/>
      <c r="I42" s="43"/>
      <c r="J42" s="43"/>
      <c r="K42" s="43"/>
      <c r="L42" s="94">
        <f t="shared" si="0"/>
        <v>0</v>
      </c>
      <c r="M42" s="96">
        <f t="shared" si="1"/>
        <v>0</v>
      </c>
      <c r="N42" s="96">
        <f t="shared" si="2"/>
        <v>0</v>
      </c>
      <c r="O42" s="35"/>
      <c r="P42" s="35"/>
      <c r="Q42" s="35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5.75" customHeight="1" x14ac:dyDescent="0.35">
      <c r="A43" s="88">
        <v>36</v>
      </c>
      <c r="B43" s="99" t="s">
        <v>325</v>
      </c>
      <c r="C43" s="11" t="s">
        <v>179</v>
      </c>
      <c r="D43" s="89"/>
      <c r="E43" s="43"/>
      <c r="F43" s="43"/>
      <c r="G43" s="43"/>
      <c r="H43" s="43"/>
      <c r="I43" s="43"/>
      <c r="J43" s="43"/>
      <c r="K43" s="43"/>
      <c r="L43" s="94">
        <f t="shared" si="0"/>
        <v>0</v>
      </c>
      <c r="M43" s="96">
        <f t="shared" si="1"/>
        <v>0</v>
      </c>
      <c r="N43" s="96">
        <f t="shared" si="2"/>
        <v>0</v>
      </c>
      <c r="O43" s="35"/>
      <c r="P43" s="35"/>
      <c r="Q43" s="35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5.75" customHeight="1" x14ac:dyDescent="0.35">
      <c r="A44" s="88">
        <v>37</v>
      </c>
      <c r="B44" s="11" t="s">
        <v>331</v>
      </c>
      <c r="C44" s="11" t="s">
        <v>140</v>
      </c>
      <c r="D44" s="89"/>
      <c r="E44" s="90"/>
      <c r="F44" s="90"/>
      <c r="G44" s="90"/>
      <c r="H44" s="90"/>
      <c r="I44" s="90"/>
      <c r="J44" s="90"/>
      <c r="K44" s="90"/>
      <c r="L44" s="94">
        <f t="shared" si="0"/>
        <v>0</v>
      </c>
      <c r="M44" s="96">
        <f t="shared" si="1"/>
        <v>0</v>
      </c>
      <c r="N44" s="96">
        <f t="shared" si="2"/>
        <v>0</v>
      </c>
      <c r="O44" s="35"/>
      <c r="P44" s="35"/>
      <c r="Q44" s="35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5.75" customHeight="1" x14ac:dyDescent="0.35">
      <c r="A45" s="88">
        <v>38</v>
      </c>
      <c r="B45" s="99" t="s">
        <v>345</v>
      </c>
      <c r="C45" s="11" t="s">
        <v>134</v>
      </c>
      <c r="D45" s="89"/>
      <c r="E45" s="90"/>
      <c r="F45" s="90"/>
      <c r="G45" s="90"/>
      <c r="H45" s="90"/>
      <c r="I45" s="90"/>
      <c r="J45" s="90"/>
      <c r="K45" s="90"/>
      <c r="L45" s="94">
        <f t="shared" si="0"/>
        <v>0</v>
      </c>
      <c r="M45" s="96">
        <f t="shared" si="1"/>
        <v>0</v>
      </c>
      <c r="N45" s="96">
        <f t="shared" si="2"/>
        <v>0</v>
      </c>
      <c r="O45" s="35"/>
      <c r="P45" s="35"/>
      <c r="Q45" s="35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4.25" customHeight="1" x14ac:dyDescent="0.35">
      <c r="A46" s="88">
        <v>39</v>
      </c>
      <c r="B46" s="99" t="s">
        <v>351</v>
      </c>
      <c r="C46" s="101" t="s">
        <v>390</v>
      </c>
      <c r="D46" s="89"/>
      <c r="E46" s="43"/>
      <c r="F46" s="43"/>
      <c r="G46" s="137"/>
      <c r="I46" s="137"/>
      <c r="J46" s="137"/>
      <c r="K46" s="43"/>
      <c r="L46" s="94">
        <f t="shared" si="0"/>
        <v>0</v>
      </c>
      <c r="M46" s="96">
        <f t="shared" si="1"/>
        <v>0</v>
      </c>
      <c r="N46" s="96">
        <f t="shared" si="2"/>
        <v>0</v>
      </c>
      <c r="O46" s="35"/>
      <c r="P46" s="35"/>
      <c r="Q46" s="35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5.5" x14ac:dyDescent="0.35">
      <c r="A47" s="88">
        <v>40</v>
      </c>
      <c r="B47" s="99" t="s">
        <v>356</v>
      </c>
      <c r="C47" s="11" t="s">
        <v>407</v>
      </c>
      <c r="D47" s="89"/>
      <c r="E47" s="43"/>
      <c r="F47" s="14"/>
      <c r="G47" s="43"/>
      <c r="I47" s="43"/>
      <c r="J47" s="43"/>
      <c r="K47" s="14"/>
      <c r="L47" s="94">
        <f t="shared" si="0"/>
        <v>0</v>
      </c>
      <c r="M47" s="96">
        <f t="shared" si="1"/>
        <v>0</v>
      </c>
      <c r="N47" s="96">
        <f t="shared" si="2"/>
        <v>0</v>
      </c>
      <c r="O47" s="35"/>
      <c r="P47" s="35"/>
      <c r="Q47" s="35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5.5" x14ac:dyDescent="0.35">
      <c r="A48" s="88">
        <v>41</v>
      </c>
      <c r="B48" s="11" t="s">
        <v>366</v>
      </c>
      <c r="C48" s="11" t="s">
        <v>113</v>
      </c>
      <c r="D48" s="89"/>
      <c r="E48" s="43"/>
      <c r="F48" s="43"/>
      <c r="G48" s="43"/>
      <c r="I48" s="43"/>
      <c r="J48" s="14"/>
      <c r="K48" s="43"/>
      <c r="L48" s="94">
        <f t="shared" si="0"/>
        <v>0</v>
      </c>
      <c r="M48" s="96">
        <f t="shared" si="1"/>
        <v>0</v>
      </c>
      <c r="N48" s="96">
        <f t="shared" si="2"/>
        <v>0</v>
      </c>
      <c r="O48" s="35"/>
      <c r="P48" s="35"/>
      <c r="Q48" s="35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5.5" x14ac:dyDescent="0.35">
      <c r="A49" s="88">
        <v>42</v>
      </c>
      <c r="B49" s="11" t="s">
        <v>388</v>
      </c>
      <c r="C49" s="11" t="s">
        <v>179</v>
      </c>
      <c r="D49" s="89"/>
      <c r="E49" s="43"/>
      <c r="F49" s="43"/>
      <c r="G49" s="137"/>
      <c r="I49" s="137"/>
      <c r="J49" s="137"/>
      <c r="K49" s="137"/>
      <c r="L49" s="94">
        <f t="shared" si="0"/>
        <v>0</v>
      </c>
      <c r="M49" s="96">
        <f t="shared" si="1"/>
        <v>0</v>
      </c>
      <c r="N49" s="96">
        <f t="shared" si="2"/>
        <v>0</v>
      </c>
      <c r="O49" s="35"/>
      <c r="P49" s="35"/>
      <c r="Q49" s="35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5.5" x14ac:dyDescent="0.35">
      <c r="A50" s="88">
        <v>43</v>
      </c>
      <c r="B50" s="11" t="s">
        <v>406</v>
      </c>
      <c r="C50" s="11" t="s">
        <v>179</v>
      </c>
      <c r="D50" s="89"/>
      <c r="E50" s="43"/>
      <c r="F50" s="43"/>
      <c r="G50" s="43"/>
      <c r="I50" s="43"/>
      <c r="J50" s="43"/>
      <c r="K50" s="43"/>
      <c r="L50" s="94">
        <f t="shared" si="0"/>
        <v>0</v>
      </c>
      <c r="M50" s="96">
        <f t="shared" si="1"/>
        <v>0</v>
      </c>
      <c r="N50" s="96">
        <f t="shared" si="2"/>
        <v>0</v>
      </c>
      <c r="O50" s="35"/>
      <c r="P50" s="35"/>
      <c r="Q50" s="35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4.25" customHeight="1" x14ac:dyDescent="0.35">
      <c r="A51" s="88">
        <v>44</v>
      </c>
      <c r="B51" s="138" t="s">
        <v>430</v>
      </c>
      <c r="C51" s="11" t="s">
        <v>140</v>
      </c>
      <c r="D51" s="89"/>
      <c r="E51" s="14"/>
      <c r="F51" s="43"/>
      <c r="G51" s="137"/>
      <c r="I51" s="137"/>
      <c r="J51" s="137"/>
      <c r="K51" s="137"/>
      <c r="L51" s="94">
        <f t="shared" si="0"/>
        <v>0</v>
      </c>
      <c r="M51" s="96">
        <f t="shared" si="1"/>
        <v>0</v>
      </c>
      <c r="N51" s="96">
        <f t="shared" si="2"/>
        <v>0</v>
      </c>
      <c r="O51" s="35"/>
      <c r="P51" s="35"/>
      <c r="Q51" s="35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5.75" customHeight="1" x14ac:dyDescent="0.35">
      <c r="A52" s="88">
        <v>45</v>
      </c>
      <c r="B52" s="99" t="s">
        <v>417</v>
      </c>
      <c r="C52" s="11" t="s">
        <v>437</v>
      </c>
      <c r="D52" s="89"/>
      <c r="E52" s="43"/>
      <c r="F52" s="43"/>
      <c r="G52" s="43"/>
      <c r="I52" s="43"/>
      <c r="J52" s="43"/>
      <c r="K52" s="43"/>
      <c r="L52" s="94">
        <f t="shared" si="0"/>
        <v>0</v>
      </c>
      <c r="M52" s="96">
        <f t="shared" si="1"/>
        <v>0</v>
      </c>
      <c r="N52" s="96">
        <f t="shared" si="2"/>
        <v>0</v>
      </c>
      <c r="O52" s="139"/>
      <c r="P52" s="139"/>
      <c r="Q52" s="139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5.75" customHeight="1" x14ac:dyDescent="0.35">
      <c r="A53" s="88">
        <v>46</v>
      </c>
      <c r="B53" s="11" t="s">
        <v>429</v>
      </c>
      <c r="C53" s="11" t="s">
        <v>195</v>
      </c>
      <c r="D53" s="89"/>
      <c r="E53" s="43"/>
      <c r="F53" s="43"/>
      <c r="G53" s="43"/>
      <c r="H53" s="43"/>
      <c r="I53" s="43"/>
      <c r="J53" s="43"/>
      <c r="K53" s="43"/>
      <c r="L53" s="94">
        <f t="shared" si="0"/>
        <v>0</v>
      </c>
      <c r="M53" s="96">
        <f t="shared" si="1"/>
        <v>0</v>
      </c>
      <c r="N53" s="96">
        <f t="shared" si="2"/>
        <v>0</v>
      </c>
      <c r="O53" s="35"/>
      <c r="P53" s="35"/>
      <c r="Q53" s="35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5.75" customHeight="1" x14ac:dyDescent="0.35">
      <c r="A54" s="88">
        <v>47</v>
      </c>
      <c r="B54" s="11" t="s">
        <v>432</v>
      </c>
      <c r="C54" s="11"/>
      <c r="D54" s="89"/>
      <c r="E54" s="43"/>
      <c r="F54" s="43"/>
      <c r="G54" s="43"/>
      <c r="H54" s="43"/>
      <c r="I54" s="43"/>
      <c r="J54" s="43"/>
      <c r="K54" s="43"/>
      <c r="L54" s="94">
        <f t="shared" si="0"/>
        <v>0</v>
      </c>
      <c r="M54" s="96">
        <f t="shared" si="1"/>
        <v>0</v>
      </c>
      <c r="N54" s="96">
        <f t="shared" si="2"/>
        <v>0</v>
      </c>
      <c r="O54" s="35"/>
      <c r="P54" s="35"/>
      <c r="Q54" s="35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4.25" customHeight="1" x14ac:dyDescent="0.35">
      <c r="A55" s="88">
        <v>48</v>
      </c>
      <c r="B55" s="11" t="s">
        <v>439</v>
      </c>
      <c r="C55" s="11"/>
      <c r="D55" s="89"/>
      <c r="E55" s="90"/>
      <c r="F55" s="130"/>
      <c r="G55" s="90"/>
      <c r="H55" s="130"/>
      <c r="I55" s="90"/>
      <c r="J55" s="90"/>
      <c r="K55" s="140"/>
      <c r="L55" s="94">
        <f t="shared" si="0"/>
        <v>0</v>
      </c>
      <c r="M55" s="96">
        <f t="shared" si="1"/>
        <v>0</v>
      </c>
      <c r="N55" s="96">
        <f t="shared" si="2"/>
        <v>0</v>
      </c>
      <c r="O55" s="35"/>
      <c r="P55" s="35"/>
      <c r="Q55" s="35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5.75" customHeight="1" x14ac:dyDescent="0.35">
      <c r="A56" s="88">
        <v>49</v>
      </c>
      <c r="B56" s="99" t="s">
        <v>445</v>
      </c>
      <c r="C56" s="11" t="s">
        <v>446</v>
      </c>
      <c r="D56" s="89"/>
      <c r="E56" s="43"/>
      <c r="F56" s="43"/>
      <c r="G56" s="43"/>
      <c r="H56" s="43"/>
      <c r="I56" s="43"/>
      <c r="J56" s="43"/>
      <c r="K56" s="43"/>
      <c r="L56" s="94">
        <f t="shared" si="0"/>
        <v>0</v>
      </c>
      <c r="M56" s="96">
        <f t="shared" si="1"/>
        <v>0</v>
      </c>
      <c r="N56" s="96">
        <f t="shared" si="2"/>
        <v>0</v>
      </c>
      <c r="O56" s="35"/>
      <c r="P56" s="35"/>
      <c r="Q56" s="35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5.75" customHeight="1" x14ac:dyDescent="0.35">
      <c r="A57" s="88">
        <v>50</v>
      </c>
      <c r="B57" s="99" t="s">
        <v>451</v>
      </c>
      <c r="C57" s="101" t="s">
        <v>452</v>
      </c>
      <c r="D57" s="89"/>
      <c r="E57" s="90"/>
      <c r="F57" s="130"/>
      <c r="G57" s="90"/>
      <c r="H57" s="130"/>
      <c r="I57" s="90"/>
      <c r="J57" s="90"/>
      <c r="K57" s="140"/>
      <c r="L57" s="94">
        <f t="shared" si="0"/>
        <v>0</v>
      </c>
      <c r="M57" s="96">
        <f t="shared" si="1"/>
        <v>0</v>
      </c>
      <c r="N57" s="96">
        <f t="shared" si="2"/>
        <v>0</v>
      </c>
      <c r="O57" s="35"/>
      <c r="P57" s="35"/>
      <c r="Q57" s="35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4.25" customHeight="1" x14ac:dyDescent="0.35">
      <c r="A58" s="88">
        <v>51</v>
      </c>
      <c r="B58" s="11" t="s">
        <v>457</v>
      </c>
      <c r="C58" s="11" t="s">
        <v>458</v>
      </c>
      <c r="D58" s="89"/>
      <c r="E58" s="90"/>
      <c r="F58" s="90"/>
      <c r="G58" s="90"/>
      <c r="H58" s="90"/>
      <c r="I58" s="90"/>
      <c r="J58" s="90"/>
      <c r="K58" s="90"/>
      <c r="L58" s="94">
        <f t="shared" si="0"/>
        <v>0</v>
      </c>
      <c r="M58" s="96">
        <f t="shared" si="1"/>
        <v>0</v>
      </c>
      <c r="N58" s="96">
        <f t="shared" si="2"/>
        <v>0</v>
      </c>
      <c r="O58" s="139"/>
      <c r="P58" s="139"/>
      <c r="Q58" s="139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5" customHeight="1" x14ac:dyDescent="0.35">
      <c r="A59" s="88">
        <v>52</v>
      </c>
      <c r="B59" s="99" t="s">
        <v>463</v>
      </c>
      <c r="C59" s="11" t="s">
        <v>488</v>
      </c>
      <c r="D59" s="89"/>
      <c r="E59" s="43"/>
      <c r="F59" s="43"/>
      <c r="G59" s="43"/>
      <c r="H59" s="145"/>
      <c r="I59" s="43"/>
      <c r="J59" s="43"/>
      <c r="K59" s="43"/>
      <c r="L59" s="94">
        <f t="shared" si="0"/>
        <v>0</v>
      </c>
      <c r="M59" s="96">
        <f t="shared" si="1"/>
        <v>0</v>
      </c>
      <c r="N59" s="96">
        <f t="shared" si="2"/>
        <v>0</v>
      </c>
      <c r="O59" s="35"/>
      <c r="P59" s="35"/>
      <c r="Q59" s="35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5" customHeight="1" x14ac:dyDescent="0.35">
      <c r="A60" s="88">
        <v>53</v>
      </c>
      <c r="B60" s="11" t="s">
        <v>470</v>
      </c>
      <c r="C60" s="11" t="s">
        <v>495</v>
      </c>
      <c r="D60" s="89"/>
      <c r="E60" s="43"/>
      <c r="F60" s="43"/>
      <c r="G60" s="146"/>
      <c r="H60" s="31"/>
      <c r="I60" s="147"/>
      <c r="J60" s="137"/>
      <c r="K60" s="43"/>
      <c r="L60" s="94">
        <f t="shared" si="0"/>
        <v>0</v>
      </c>
      <c r="M60" s="96">
        <f t="shared" si="1"/>
        <v>0</v>
      </c>
      <c r="N60" s="96">
        <f t="shared" si="2"/>
        <v>0</v>
      </c>
      <c r="O60" s="35"/>
      <c r="P60" s="35"/>
      <c r="Q60" s="35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4.25" customHeight="1" x14ac:dyDescent="0.35">
      <c r="A61" s="88">
        <v>54</v>
      </c>
      <c r="B61" s="149" t="s">
        <v>480</v>
      </c>
      <c r="C61" s="150" t="s">
        <v>179</v>
      </c>
      <c r="D61" s="89"/>
      <c r="E61" s="133"/>
      <c r="F61" s="43"/>
      <c r="G61" s="146"/>
      <c r="H61" s="31"/>
      <c r="I61" s="151"/>
      <c r="J61" s="43"/>
      <c r="K61" s="43"/>
      <c r="L61" s="94">
        <f t="shared" si="0"/>
        <v>0</v>
      </c>
      <c r="M61" s="96">
        <f t="shared" si="1"/>
        <v>0</v>
      </c>
      <c r="N61" s="96">
        <f t="shared" si="2"/>
        <v>0</v>
      </c>
      <c r="O61" s="35"/>
      <c r="P61" s="35"/>
      <c r="Q61" s="35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4.25" customHeight="1" x14ac:dyDescent="0.35">
      <c r="A62" s="88">
        <v>55</v>
      </c>
      <c r="B62" s="99" t="s">
        <v>511</v>
      </c>
      <c r="C62" s="101" t="s">
        <v>140</v>
      </c>
      <c r="D62" s="89"/>
      <c r="E62" s="90"/>
      <c r="F62" s="90"/>
      <c r="G62" s="152"/>
      <c r="H62" s="31"/>
      <c r="I62" s="153"/>
      <c r="J62" s="90"/>
      <c r="K62" s="90"/>
      <c r="L62" s="94">
        <f t="shared" si="0"/>
        <v>0</v>
      </c>
      <c r="M62" s="96">
        <f t="shared" si="1"/>
        <v>0</v>
      </c>
      <c r="N62" s="96">
        <f t="shared" si="2"/>
        <v>0</v>
      </c>
      <c r="O62" s="139"/>
      <c r="P62" s="139"/>
      <c r="Q62" s="139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4.25" customHeight="1" x14ac:dyDescent="0.35">
      <c r="A63" s="88">
        <v>56</v>
      </c>
      <c r="B63" s="149" t="s">
        <v>465</v>
      </c>
      <c r="C63" s="129" t="s">
        <v>518</v>
      </c>
      <c r="D63" s="89"/>
      <c r="E63" s="14"/>
      <c r="F63" s="43"/>
      <c r="G63" s="146"/>
      <c r="H63" s="31"/>
      <c r="I63" s="151"/>
      <c r="J63" s="43"/>
      <c r="K63" s="43"/>
      <c r="L63" s="94">
        <f t="shared" si="0"/>
        <v>0</v>
      </c>
      <c r="M63" s="96">
        <f t="shared" si="1"/>
        <v>0</v>
      </c>
      <c r="N63" s="96">
        <f t="shared" si="2"/>
        <v>0</v>
      </c>
      <c r="O63" s="139"/>
      <c r="P63" s="35"/>
      <c r="Q63" s="35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5.75" customHeight="1" x14ac:dyDescent="0.35">
      <c r="A64" s="88">
        <v>57</v>
      </c>
      <c r="B64" s="99" t="s">
        <v>514</v>
      </c>
      <c r="C64" s="149" t="s">
        <v>523</v>
      </c>
      <c r="D64" s="89"/>
      <c r="E64" s="90"/>
      <c r="F64" s="120"/>
      <c r="G64" s="152"/>
      <c r="H64" s="31"/>
      <c r="I64" s="153"/>
      <c r="J64" s="90"/>
      <c r="K64" s="120"/>
      <c r="L64" s="94">
        <f t="shared" si="0"/>
        <v>0</v>
      </c>
      <c r="M64" s="96">
        <f t="shared" si="1"/>
        <v>0</v>
      </c>
      <c r="N64" s="96">
        <f t="shared" si="2"/>
        <v>0</v>
      </c>
      <c r="O64" s="35"/>
      <c r="P64" s="35"/>
      <c r="Q64" s="35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3.5" customHeight="1" x14ac:dyDescent="0.35">
      <c r="A65" s="88">
        <v>58</v>
      </c>
      <c r="B65" s="11" t="s">
        <v>508</v>
      </c>
      <c r="C65" s="11" t="s">
        <v>509</v>
      </c>
      <c r="D65" s="89"/>
      <c r="E65" s="43"/>
      <c r="F65" s="43"/>
      <c r="G65" s="146"/>
      <c r="H65" s="31"/>
      <c r="I65" s="151"/>
      <c r="J65" s="43"/>
      <c r="K65" s="43"/>
      <c r="L65" s="94">
        <f t="shared" si="0"/>
        <v>0</v>
      </c>
      <c r="M65" s="96">
        <f t="shared" si="1"/>
        <v>0</v>
      </c>
      <c r="N65" s="96">
        <f t="shared" si="2"/>
        <v>0</v>
      </c>
      <c r="O65" s="35"/>
      <c r="P65" s="35"/>
      <c r="Q65" s="35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4.25" customHeight="1" x14ac:dyDescent="0.35">
      <c r="A66" s="88">
        <v>59</v>
      </c>
      <c r="B66" s="138" t="s">
        <v>224</v>
      </c>
      <c r="C66" s="11" t="s">
        <v>543</v>
      </c>
      <c r="D66" s="89"/>
      <c r="E66" s="43"/>
      <c r="F66" s="43"/>
      <c r="G66" s="146"/>
      <c r="H66" s="31"/>
      <c r="I66" s="151"/>
      <c r="J66" s="43"/>
      <c r="K66" s="43"/>
      <c r="L66" s="94">
        <f t="shared" si="0"/>
        <v>0</v>
      </c>
      <c r="M66" s="96">
        <f t="shared" si="1"/>
        <v>0</v>
      </c>
      <c r="N66" s="96">
        <f t="shared" si="2"/>
        <v>0</v>
      </c>
      <c r="O66" s="35"/>
      <c r="P66" s="35"/>
      <c r="Q66" s="35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5.75" customHeight="1" x14ac:dyDescent="0.35">
      <c r="A67" s="88">
        <v>60</v>
      </c>
      <c r="B67" s="149" t="s">
        <v>353</v>
      </c>
      <c r="C67" s="129" t="s">
        <v>548</v>
      </c>
      <c r="D67" s="89"/>
      <c r="E67" s="133"/>
      <c r="F67" s="14"/>
      <c r="G67" s="157"/>
      <c r="H67" s="31"/>
      <c r="I67" s="158"/>
      <c r="J67" s="14"/>
      <c r="K67" s="14"/>
      <c r="L67" s="94">
        <f t="shared" si="0"/>
        <v>0</v>
      </c>
      <c r="M67" s="96">
        <f t="shared" si="1"/>
        <v>0</v>
      </c>
      <c r="N67" s="96">
        <f t="shared" si="2"/>
        <v>0</v>
      </c>
      <c r="O67" s="35"/>
      <c r="P67" s="35"/>
      <c r="Q67" s="35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3.5" customHeight="1" x14ac:dyDescent="0.35">
      <c r="A68" s="88">
        <v>61</v>
      </c>
      <c r="B68" s="11" t="s">
        <v>199</v>
      </c>
      <c r="C68" s="11" t="s">
        <v>140</v>
      </c>
      <c r="D68" s="89"/>
      <c r="E68" s="43"/>
      <c r="F68" s="43"/>
      <c r="G68" s="146"/>
      <c r="H68" s="31"/>
      <c r="I68" s="151"/>
      <c r="J68" s="43"/>
      <c r="K68" s="43"/>
      <c r="L68" s="94">
        <f t="shared" si="0"/>
        <v>0</v>
      </c>
      <c r="M68" s="96">
        <f t="shared" si="1"/>
        <v>0</v>
      </c>
      <c r="N68" s="96">
        <f t="shared" si="2"/>
        <v>0</v>
      </c>
      <c r="O68" s="35"/>
      <c r="P68" s="35"/>
      <c r="Q68" s="35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5.5" x14ac:dyDescent="0.35">
      <c r="A69" s="88">
        <v>62</v>
      </c>
      <c r="B69" s="99" t="s">
        <v>550</v>
      </c>
      <c r="C69" s="11" t="s">
        <v>552</v>
      </c>
      <c r="D69" s="89"/>
      <c r="E69" s="43"/>
      <c r="F69" s="43"/>
      <c r="G69" s="43"/>
      <c r="H69" s="160"/>
      <c r="I69" s="43"/>
      <c r="J69" s="43"/>
      <c r="K69" s="43"/>
      <c r="L69" s="94">
        <f t="shared" si="0"/>
        <v>0</v>
      </c>
      <c r="M69" s="96">
        <f t="shared" si="1"/>
        <v>0</v>
      </c>
      <c r="N69" s="96">
        <f t="shared" si="2"/>
        <v>0</v>
      </c>
      <c r="O69" s="35"/>
      <c r="P69" s="35"/>
      <c r="Q69" s="35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5.5" x14ac:dyDescent="0.35">
      <c r="A70" s="88">
        <v>63</v>
      </c>
      <c r="B70" s="99" t="s">
        <v>557</v>
      </c>
      <c r="C70" s="101" t="s">
        <v>113</v>
      </c>
      <c r="D70" s="89"/>
      <c r="E70" s="43"/>
      <c r="F70" s="43"/>
      <c r="G70" s="43"/>
      <c r="H70" s="43"/>
      <c r="I70" s="43"/>
      <c r="J70" s="43"/>
      <c r="K70" s="43"/>
      <c r="L70" s="94">
        <f t="shared" si="0"/>
        <v>0</v>
      </c>
      <c r="M70" s="96">
        <f t="shared" si="1"/>
        <v>0</v>
      </c>
      <c r="N70" s="96">
        <f t="shared" si="2"/>
        <v>0</v>
      </c>
      <c r="O70" s="35"/>
      <c r="P70" s="35"/>
      <c r="Q70" s="35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5.5" x14ac:dyDescent="0.35">
      <c r="A71" s="88">
        <v>64</v>
      </c>
      <c r="B71" s="99" t="s">
        <v>572</v>
      </c>
      <c r="C71" s="11" t="s">
        <v>140</v>
      </c>
      <c r="D71" s="89"/>
      <c r="E71" s="90"/>
      <c r="F71" s="90"/>
      <c r="G71" s="90"/>
      <c r="H71" s="90"/>
      <c r="I71" s="90"/>
      <c r="J71" s="90"/>
      <c r="K71" s="90"/>
      <c r="L71" s="94">
        <f t="shared" si="0"/>
        <v>0</v>
      </c>
      <c r="M71" s="96">
        <f t="shared" si="1"/>
        <v>0</v>
      </c>
      <c r="N71" s="96">
        <f t="shared" si="2"/>
        <v>0</v>
      </c>
      <c r="O71" s="35"/>
      <c r="P71" s="35"/>
      <c r="Q71" s="35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5.5" x14ac:dyDescent="0.35">
      <c r="A72" s="88">
        <v>65</v>
      </c>
      <c r="B72" s="99" t="s">
        <v>577</v>
      </c>
      <c r="C72" s="101" t="s">
        <v>590</v>
      </c>
      <c r="D72" s="89"/>
      <c r="E72" s="43"/>
      <c r="F72" s="43"/>
      <c r="G72" s="43"/>
      <c r="H72" s="43"/>
      <c r="I72" s="43"/>
      <c r="J72" s="43"/>
      <c r="K72" s="43"/>
      <c r="L72" s="94">
        <f t="shared" si="0"/>
        <v>0</v>
      </c>
      <c r="M72" s="96">
        <f t="shared" si="1"/>
        <v>0</v>
      </c>
      <c r="N72" s="96">
        <f t="shared" si="2"/>
        <v>0</v>
      </c>
      <c r="O72" s="35"/>
      <c r="P72" s="35"/>
      <c r="Q72" s="35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3.5" customHeight="1" x14ac:dyDescent="0.35">
      <c r="A73" s="88">
        <v>66</v>
      </c>
      <c r="B73" s="99" t="s">
        <v>586</v>
      </c>
      <c r="C73" s="11" t="s">
        <v>598</v>
      </c>
      <c r="D73" s="89"/>
      <c r="E73" s="43"/>
      <c r="F73" s="43"/>
      <c r="G73" s="43"/>
      <c r="H73" s="43"/>
      <c r="I73" s="43"/>
      <c r="J73" s="43"/>
      <c r="K73" s="43"/>
      <c r="L73" s="94">
        <f t="shared" si="0"/>
        <v>0</v>
      </c>
      <c r="M73" s="96">
        <f t="shared" si="1"/>
        <v>0</v>
      </c>
      <c r="N73" s="96">
        <f t="shared" si="2"/>
        <v>0</v>
      </c>
      <c r="O73" s="35"/>
      <c r="P73" s="35"/>
      <c r="Q73" s="35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4.25" customHeight="1" x14ac:dyDescent="0.35">
      <c r="A74" s="88">
        <v>67</v>
      </c>
      <c r="B74" s="99" t="s">
        <v>174</v>
      </c>
      <c r="C74" s="11" t="s">
        <v>595</v>
      </c>
      <c r="D74" s="89"/>
      <c r="E74" s="43"/>
      <c r="F74" s="43"/>
      <c r="G74" s="43"/>
      <c r="H74" s="43"/>
      <c r="I74" s="137"/>
      <c r="J74" s="137"/>
      <c r="K74" s="137"/>
      <c r="L74" s="94">
        <f t="shared" si="0"/>
        <v>0</v>
      </c>
      <c r="M74" s="96">
        <f t="shared" si="1"/>
        <v>0</v>
      </c>
      <c r="N74" s="96">
        <f t="shared" si="2"/>
        <v>0</v>
      </c>
      <c r="O74" s="35"/>
      <c r="P74" s="35"/>
      <c r="Q74" s="35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5" customHeight="1" x14ac:dyDescent="0.35">
      <c r="A75" s="88">
        <v>68</v>
      </c>
      <c r="B75" s="99" t="s">
        <v>600</v>
      </c>
      <c r="C75" s="101" t="s">
        <v>179</v>
      </c>
      <c r="D75" s="89"/>
      <c r="E75" s="43"/>
      <c r="F75" s="43"/>
      <c r="G75" s="43"/>
      <c r="H75" s="43"/>
      <c r="I75" s="43"/>
      <c r="J75" s="43"/>
      <c r="K75" s="43"/>
      <c r="L75" s="94">
        <f t="shared" si="0"/>
        <v>0</v>
      </c>
      <c r="M75" s="96">
        <f t="shared" si="1"/>
        <v>0</v>
      </c>
      <c r="N75" s="96">
        <f t="shared" si="2"/>
        <v>0</v>
      </c>
      <c r="O75" s="35"/>
      <c r="P75" s="35"/>
      <c r="Q75" s="35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5" customHeight="1" x14ac:dyDescent="0.35">
      <c r="A76" s="88">
        <v>69</v>
      </c>
      <c r="B76" s="99" t="s">
        <v>80</v>
      </c>
      <c r="C76" s="11" t="s">
        <v>113</v>
      </c>
      <c r="D76" s="89"/>
      <c r="E76" s="43"/>
      <c r="F76" s="43"/>
      <c r="G76" s="43"/>
      <c r="H76" s="43"/>
      <c r="I76" s="43"/>
      <c r="J76" s="43"/>
      <c r="K76" s="43"/>
      <c r="L76" s="94">
        <f t="shared" si="0"/>
        <v>0</v>
      </c>
      <c r="M76" s="96">
        <f t="shared" si="1"/>
        <v>0</v>
      </c>
      <c r="N76" s="96">
        <f t="shared" si="2"/>
        <v>0</v>
      </c>
      <c r="O76" s="35"/>
      <c r="P76" s="35"/>
      <c r="Q76" s="35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5" customHeight="1" x14ac:dyDescent="0.35">
      <c r="A77" s="88">
        <v>70</v>
      </c>
      <c r="B77" s="99" t="s">
        <v>23</v>
      </c>
      <c r="C77" s="101" t="s">
        <v>215</v>
      </c>
      <c r="D77" s="89"/>
      <c r="E77" s="43"/>
      <c r="F77" s="14"/>
      <c r="G77" s="43"/>
      <c r="H77" s="43"/>
      <c r="I77" s="43"/>
      <c r="J77" s="43"/>
      <c r="K77" s="14"/>
      <c r="L77" s="94">
        <f t="shared" si="0"/>
        <v>0</v>
      </c>
      <c r="M77" s="96">
        <f t="shared" si="1"/>
        <v>0</v>
      </c>
      <c r="N77" s="96">
        <f t="shared" si="2"/>
        <v>0</v>
      </c>
      <c r="O77" s="35"/>
      <c r="P77" s="35"/>
      <c r="Q77" s="35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5.5" x14ac:dyDescent="0.35">
      <c r="A78" s="88">
        <v>71</v>
      </c>
      <c r="B78" s="99" t="s">
        <v>236</v>
      </c>
      <c r="C78" s="101" t="s">
        <v>179</v>
      </c>
      <c r="D78" s="89"/>
      <c r="E78" s="174"/>
      <c r="F78" s="174"/>
      <c r="G78" s="174"/>
      <c r="H78" s="174"/>
      <c r="I78" s="174"/>
      <c r="J78" s="174"/>
      <c r="K78" s="174"/>
      <c r="L78" s="94">
        <f t="shared" si="0"/>
        <v>0</v>
      </c>
      <c r="M78" s="96">
        <f t="shared" si="1"/>
        <v>0</v>
      </c>
      <c r="N78" s="96">
        <f t="shared" si="2"/>
        <v>0</v>
      </c>
      <c r="O78" s="35"/>
      <c r="P78" s="35"/>
      <c r="Q78" s="35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3.5" customHeight="1" x14ac:dyDescent="0.35">
      <c r="A79" s="88">
        <v>72</v>
      </c>
      <c r="B79" s="11" t="s">
        <v>535</v>
      </c>
      <c r="C79" s="11" t="s">
        <v>113</v>
      </c>
      <c r="D79" s="89"/>
      <c r="E79" s="43"/>
      <c r="F79" s="43"/>
      <c r="G79" s="43"/>
      <c r="H79" s="43"/>
      <c r="I79" s="43"/>
      <c r="J79" s="43"/>
      <c r="K79" s="43"/>
      <c r="L79" s="94">
        <f t="shared" si="0"/>
        <v>0</v>
      </c>
      <c r="M79" s="96">
        <f t="shared" si="1"/>
        <v>0</v>
      </c>
      <c r="N79" s="96">
        <f t="shared" si="2"/>
        <v>0</v>
      </c>
      <c r="O79" s="35"/>
      <c r="P79" s="35"/>
      <c r="Q79" s="35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5.5" x14ac:dyDescent="0.35">
      <c r="A80" s="88">
        <v>73</v>
      </c>
      <c r="B80" s="99" t="s">
        <v>610</v>
      </c>
      <c r="C80" s="11" t="s">
        <v>598</v>
      </c>
      <c r="D80" s="89"/>
      <c r="E80" s="137"/>
      <c r="F80" s="43"/>
      <c r="G80" s="43"/>
      <c r="H80" s="43"/>
      <c r="I80" s="43"/>
      <c r="J80" s="43"/>
      <c r="K80" s="43"/>
      <c r="L80" s="94">
        <f t="shared" si="0"/>
        <v>0</v>
      </c>
      <c r="M80" s="96">
        <f t="shared" si="1"/>
        <v>0</v>
      </c>
      <c r="N80" s="96">
        <f t="shared" si="2"/>
        <v>0</v>
      </c>
      <c r="O80" s="35"/>
      <c r="P80" s="35"/>
      <c r="Q80" s="35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5" customHeight="1" x14ac:dyDescent="0.35">
      <c r="A81" s="88">
        <v>74</v>
      </c>
      <c r="B81" s="99" t="s">
        <v>528</v>
      </c>
      <c r="C81" s="101" t="s">
        <v>651</v>
      </c>
      <c r="D81" s="89"/>
      <c r="E81" s="90"/>
      <c r="F81" s="90"/>
      <c r="G81" s="90"/>
      <c r="H81" s="90"/>
      <c r="I81" s="90"/>
      <c r="J81" s="90"/>
      <c r="K81" s="120"/>
      <c r="L81" s="94">
        <f t="shared" si="0"/>
        <v>0</v>
      </c>
      <c r="M81" s="96">
        <f t="shared" si="1"/>
        <v>0</v>
      </c>
      <c r="N81" s="96">
        <f t="shared" si="2"/>
        <v>0</v>
      </c>
      <c r="O81" s="35"/>
      <c r="P81" s="35"/>
      <c r="Q81" s="35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5.5" x14ac:dyDescent="0.35">
      <c r="A82" s="88">
        <v>75</v>
      </c>
      <c r="B82" s="99" t="s">
        <v>635</v>
      </c>
      <c r="C82" s="11" t="s">
        <v>245</v>
      </c>
      <c r="D82" s="89"/>
      <c r="E82" s="43"/>
      <c r="F82" s="43"/>
      <c r="G82" s="43"/>
      <c r="H82" s="43"/>
      <c r="I82" s="43"/>
      <c r="J82" s="43"/>
      <c r="K82" s="43"/>
      <c r="L82" s="94">
        <f t="shared" si="0"/>
        <v>0</v>
      </c>
      <c r="M82" s="96">
        <f t="shared" si="1"/>
        <v>0</v>
      </c>
      <c r="N82" s="96">
        <f t="shared" si="2"/>
        <v>0</v>
      </c>
      <c r="O82" s="35"/>
      <c r="P82" s="35"/>
      <c r="Q82" s="35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5.5" x14ac:dyDescent="0.35">
      <c r="A83" s="88">
        <v>76</v>
      </c>
      <c r="B83" s="99" t="s">
        <v>646</v>
      </c>
      <c r="C83" s="11" t="s">
        <v>664</v>
      </c>
      <c r="D83" s="89"/>
      <c r="E83" s="43"/>
      <c r="F83" s="43"/>
      <c r="G83" s="43"/>
      <c r="H83" s="43"/>
      <c r="I83" s="43"/>
      <c r="J83" s="43"/>
      <c r="K83" s="43"/>
      <c r="L83" s="94">
        <f t="shared" si="0"/>
        <v>0</v>
      </c>
      <c r="M83" s="96">
        <f t="shared" si="1"/>
        <v>0</v>
      </c>
      <c r="N83" s="96">
        <f t="shared" si="2"/>
        <v>0</v>
      </c>
      <c r="O83" s="35"/>
      <c r="P83" s="35"/>
      <c r="Q83" s="35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5.5" x14ac:dyDescent="0.35">
      <c r="A84" s="88">
        <v>77</v>
      </c>
      <c r="B84" s="99" t="s">
        <v>653</v>
      </c>
      <c r="C84" s="101" t="s">
        <v>140</v>
      </c>
      <c r="D84" s="89"/>
      <c r="E84" s="43"/>
      <c r="F84" s="43"/>
      <c r="G84" s="43"/>
      <c r="H84" s="133"/>
      <c r="I84" s="43"/>
      <c r="J84" s="43"/>
      <c r="K84" s="123"/>
      <c r="L84" s="94">
        <f t="shared" si="0"/>
        <v>0</v>
      </c>
      <c r="M84" s="96">
        <f t="shared" si="1"/>
        <v>0</v>
      </c>
      <c r="N84" s="96">
        <f t="shared" si="2"/>
        <v>0</v>
      </c>
      <c r="O84" s="35"/>
      <c r="P84" s="35"/>
      <c r="Q84" s="35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5.5" x14ac:dyDescent="0.35">
      <c r="A85" s="88">
        <v>78</v>
      </c>
      <c r="B85" s="99" t="s">
        <v>660</v>
      </c>
      <c r="C85" s="11" t="s">
        <v>245</v>
      </c>
      <c r="D85" s="89"/>
      <c r="E85" s="43"/>
      <c r="F85" s="133"/>
      <c r="G85" s="43"/>
      <c r="H85" s="133"/>
      <c r="I85" s="43"/>
      <c r="J85" s="43"/>
      <c r="K85" s="123"/>
      <c r="L85" s="94">
        <f t="shared" si="0"/>
        <v>0</v>
      </c>
      <c r="M85" s="96">
        <f t="shared" si="1"/>
        <v>0</v>
      </c>
      <c r="N85" s="96">
        <f t="shared" si="2"/>
        <v>0</v>
      </c>
      <c r="O85" s="35"/>
      <c r="P85" s="35"/>
      <c r="Q85" s="35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5.5" x14ac:dyDescent="0.35">
      <c r="A86" s="88">
        <v>79</v>
      </c>
      <c r="B86" s="99" t="s">
        <v>666</v>
      </c>
      <c r="C86" s="11" t="s">
        <v>690</v>
      </c>
      <c r="D86" s="89"/>
      <c r="E86" s="43"/>
      <c r="F86" s="43"/>
      <c r="G86" s="43"/>
      <c r="H86" s="43"/>
      <c r="I86" s="43"/>
      <c r="J86" s="43"/>
      <c r="K86" s="43"/>
      <c r="L86" s="94">
        <f t="shared" si="0"/>
        <v>0</v>
      </c>
      <c r="M86" s="96">
        <f t="shared" si="1"/>
        <v>0</v>
      </c>
      <c r="N86" s="96">
        <f t="shared" si="2"/>
        <v>0</v>
      </c>
      <c r="O86" s="35"/>
      <c r="P86" s="35"/>
      <c r="Q86" s="35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5.5" x14ac:dyDescent="0.35">
      <c r="A87" s="88">
        <v>80</v>
      </c>
      <c r="B87" s="11" t="s">
        <v>679</v>
      </c>
      <c r="C87" s="11" t="s">
        <v>195</v>
      </c>
      <c r="D87" s="89"/>
      <c r="E87" s="43"/>
      <c r="F87" s="43"/>
      <c r="G87" s="43"/>
      <c r="H87" s="43"/>
      <c r="I87" s="43"/>
      <c r="J87" s="43"/>
      <c r="K87" s="43"/>
      <c r="L87" s="94">
        <f t="shared" si="0"/>
        <v>0</v>
      </c>
      <c r="M87" s="96">
        <f t="shared" si="1"/>
        <v>0</v>
      </c>
      <c r="N87" s="96">
        <f t="shared" si="2"/>
        <v>0</v>
      </c>
      <c r="O87" s="35"/>
      <c r="P87" s="35"/>
      <c r="Q87" s="35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5.5" x14ac:dyDescent="0.35">
      <c r="A88" s="88">
        <v>81</v>
      </c>
      <c r="B88" s="149" t="s">
        <v>327</v>
      </c>
      <c r="C88" s="129" t="s">
        <v>179</v>
      </c>
      <c r="D88" s="89"/>
      <c r="E88" s="133"/>
      <c r="F88" s="14"/>
      <c r="G88" s="43"/>
      <c r="H88" s="43"/>
      <c r="I88" s="43"/>
      <c r="J88" s="43"/>
      <c r="K88" s="14"/>
      <c r="L88" s="94">
        <f t="shared" si="0"/>
        <v>0</v>
      </c>
      <c r="M88" s="96">
        <f t="shared" si="1"/>
        <v>0</v>
      </c>
      <c r="N88" s="96">
        <f t="shared" si="2"/>
        <v>0</v>
      </c>
      <c r="O88" s="35"/>
      <c r="P88" s="35"/>
      <c r="Q88" s="35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5.5" x14ac:dyDescent="0.35">
      <c r="A89" s="88">
        <v>82</v>
      </c>
      <c r="B89" s="11" t="s">
        <v>714</v>
      </c>
      <c r="C89" s="11" t="s">
        <v>590</v>
      </c>
      <c r="D89" s="89"/>
      <c r="E89" s="43"/>
      <c r="F89" s="43"/>
      <c r="G89" s="43"/>
      <c r="H89" s="43"/>
      <c r="I89" s="43"/>
      <c r="J89" s="43"/>
      <c r="K89" s="43"/>
      <c r="L89" s="94">
        <f t="shared" si="0"/>
        <v>0</v>
      </c>
      <c r="M89" s="96">
        <f t="shared" si="1"/>
        <v>0</v>
      </c>
      <c r="N89" s="96">
        <f t="shared" si="2"/>
        <v>0</v>
      </c>
      <c r="O89" s="35"/>
      <c r="P89" s="35"/>
      <c r="Q89" s="35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5.5" x14ac:dyDescent="0.35">
      <c r="A90" s="88">
        <v>83</v>
      </c>
      <c r="B90" s="99" t="s">
        <v>698</v>
      </c>
      <c r="C90" s="11" t="s">
        <v>215</v>
      </c>
      <c r="D90" s="89"/>
      <c r="E90" s="43"/>
      <c r="F90" s="43"/>
      <c r="G90" s="43"/>
      <c r="H90" s="43"/>
      <c r="I90" s="43"/>
      <c r="J90" s="14"/>
      <c r="K90" s="43"/>
      <c r="L90" s="94">
        <f t="shared" si="0"/>
        <v>0</v>
      </c>
      <c r="M90" s="96">
        <f t="shared" si="1"/>
        <v>0</v>
      </c>
      <c r="N90" s="96">
        <f t="shared" si="2"/>
        <v>0</v>
      </c>
      <c r="O90" s="35"/>
      <c r="P90" s="35"/>
      <c r="Q90" s="35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5.5" x14ac:dyDescent="0.35">
      <c r="A91" s="88">
        <v>84</v>
      </c>
      <c r="B91" s="149" t="s">
        <v>568</v>
      </c>
      <c r="C91" s="129" t="s">
        <v>179</v>
      </c>
      <c r="D91" s="89"/>
      <c r="E91" s="133"/>
      <c r="F91" s="43"/>
      <c r="G91" s="43"/>
      <c r="H91" s="43"/>
      <c r="I91" s="43"/>
      <c r="J91" s="43"/>
      <c r="K91" s="43"/>
      <c r="L91" s="94">
        <f t="shared" si="0"/>
        <v>0</v>
      </c>
      <c r="M91" s="96">
        <f t="shared" si="1"/>
        <v>0</v>
      </c>
      <c r="N91" s="96">
        <f t="shared" si="2"/>
        <v>0</v>
      </c>
      <c r="O91" s="35"/>
      <c r="P91" s="35"/>
      <c r="Q91" s="35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5.5" x14ac:dyDescent="0.35">
      <c r="A92" s="88">
        <v>85</v>
      </c>
      <c r="B92" s="11" t="s">
        <v>710</v>
      </c>
      <c r="C92" s="11"/>
      <c r="D92" s="89"/>
      <c r="E92" s="90"/>
      <c r="F92" s="90"/>
      <c r="G92" s="90"/>
      <c r="H92" s="90"/>
      <c r="I92" s="90"/>
      <c r="J92" s="90"/>
      <c r="K92" s="90"/>
      <c r="L92" s="94">
        <f t="shared" si="0"/>
        <v>0</v>
      </c>
      <c r="M92" s="96">
        <f t="shared" si="1"/>
        <v>0</v>
      </c>
      <c r="N92" s="96">
        <f t="shared" si="2"/>
        <v>0</v>
      </c>
      <c r="O92" s="35"/>
      <c r="P92" s="35"/>
      <c r="Q92" s="35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5.5" x14ac:dyDescent="0.35">
      <c r="A93" s="88">
        <v>86</v>
      </c>
      <c r="B93" s="99" t="s">
        <v>721</v>
      </c>
      <c r="C93" s="11" t="s">
        <v>179</v>
      </c>
      <c r="D93" s="204"/>
      <c r="E93" s="43"/>
      <c r="F93" s="14"/>
      <c r="G93" s="43"/>
      <c r="H93" s="43"/>
      <c r="I93" s="43"/>
      <c r="J93" s="43"/>
      <c r="K93" s="14"/>
      <c r="L93" s="94">
        <f t="shared" si="0"/>
        <v>0</v>
      </c>
      <c r="M93" s="96">
        <f t="shared" si="1"/>
        <v>0</v>
      </c>
      <c r="N93" s="96">
        <f t="shared" si="2"/>
        <v>0</v>
      </c>
      <c r="O93" s="35"/>
      <c r="P93" s="35"/>
      <c r="Q93" s="35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5.5" x14ac:dyDescent="0.35">
      <c r="A94" s="88">
        <v>87</v>
      </c>
      <c r="B94" s="149" t="s">
        <v>232</v>
      </c>
      <c r="C94" s="150" t="s">
        <v>179</v>
      </c>
      <c r="D94" s="89"/>
      <c r="E94" s="90"/>
      <c r="F94" s="90"/>
      <c r="G94" s="90"/>
      <c r="H94" s="90"/>
      <c r="I94" s="90"/>
      <c r="J94" s="90"/>
      <c r="K94" s="90"/>
      <c r="L94" s="94">
        <f t="shared" si="0"/>
        <v>0</v>
      </c>
      <c r="M94" s="96">
        <f t="shared" si="1"/>
        <v>0</v>
      </c>
      <c r="N94" s="96">
        <f t="shared" si="2"/>
        <v>0</v>
      </c>
      <c r="O94" s="35"/>
      <c r="P94" s="35"/>
      <c r="Q94" s="35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5.5" x14ac:dyDescent="0.35">
      <c r="A95" s="88">
        <v>88</v>
      </c>
      <c r="B95" s="99" t="s">
        <v>28</v>
      </c>
      <c r="C95" s="11" t="s">
        <v>245</v>
      </c>
      <c r="D95" s="89"/>
      <c r="E95" s="43"/>
      <c r="F95" s="43"/>
      <c r="G95" s="43"/>
      <c r="H95" s="43"/>
      <c r="I95" s="43"/>
      <c r="J95" s="43"/>
      <c r="K95" s="43"/>
      <c r="L95" s="94">
        <f t="shared" si="0"/>
        <v>0</v>
      </c>
      <c r="M95" s="96">
        <f t="shared" si="1"/>
        <v>0</v>
      </c>
      <c r="N95" s="96">
        <f t="shared" si="2"/>
        <v>0</v>
      </c>
      <c r="O95" s="35"/>
      <c r="P95" s="35"/>
      <c r="Q95" s="35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5.5" x14ac:dyDescent="0.35">
      <c r="A96" s="88">
        <v>89</v>
      </c>
      <c r="B96" s="99" t="s">
        <v>99</v>
      </c>
      <c r="C96" s="101" t="s">
        <v>733</v>
      </c>
      <c r="D96" s="89"/>
      <c r="E96" s="90"/>
      <c r="F96" s="211"/>
      <c r="G96" s="211"/>
      <c r="H96" s="211"/>
      <c r="I96" s="211"/>
      <c r="J96" s="211"/>
      <c r="K96" s="211"/>
      <c r="L96" s="94">
        <f t="shared" si="0"/>
        <v>0</v>
      </c>
      <c r="M96" s="96">
        <f t="shared" si="1"/>
        <v>0</v>
      </c>
      <c r="N96" s="96">
        <f t="shared" si="2"/>
        <v>0</v>
      </c>
      <c r="O96" s="35"/>
      <c r="P96" s="35"/>
      <c r="Q96" s="35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5.5" x14ac:dyDescent="0.35">
      <c r="A97" s="88">
        <v>90</v>
      </c>
      <c r="B97" s="11" t="s">
        <v>196</v>
      </c>
      <c r="C97" s="11" t="s">
        <v>179</v>
      </c>
      <c r="D97" s="89"/>
      <c r="E97" s="43"/>
      <c r="F97" s="133"/>
      <c r="G97" s="43"/>
      <c r="H97" s="133"/>
      <c r="I97" s="43"/>
      <c r="J97" s="43"/>
      <c r="K97" s="123"/>
      <c r="L97" s="94">
        <f t="shared" si="0"/>
        <v>0</v>
      </c>
      <c r="M97" s="96">
        <f t="shared" si="1"/>
        <v>0</v>
      </c>
      <c r="N97" s="96">
        <f t="shared" si="2"/>
        <v>0</v>
      </c>
      <c r="O97" s="35"/>
      <c r="P97" s="35"/>
      <c r="Q97" s="35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5.5" x14ac:dyDescent="0.35">
      <c r="A98" s="88">
        <v>91</v>
      </c>
      <c r="B98" s="99" t="s">
        <v>746</v>
      </c>
      <c r="C98" s="11" t="s">
        <v>770</v>
      </c>
      <c r="D98" s="89"/>
      <c r="E98" s="43"/>
      <c r="F98" s="43"/>
      <c r="G98" s="43"/>
      <c r="H98" s="43"/>
      <c r="I98" s="43"/>
      <c r="J98" s="43"/>
      <c r="K98" s="43"/>
      <c r="L98" s="94">
        <f t="shared" si="0"/>
        <v>0</v>
      </c>
      <c r="M98" s="96">
        <f t="shared" si="1"/>
        <v>0</v>
      </c>
      <c r="N98" s="96">
        <f t="shared" si="2"/>
        <v>0</v>
      </c>
      <c r="O98" s="35"/>
      <c r="P98" s="35"/>
      <c r="Q98" s="35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5.5" x14ac:dyDescent="0.35">
      <c r="A99" s="88">
        <v>92</v>
      </c>
      <c r="B99" s="99" t="s">
        <v>522</v>
      </c>
      <c r="C99" s="11" t="s">
        <v>179</v>
      </c>
      <c r="D99" s="89"/>
      <c r="E99" s="43"/>
      <c r="F99" s="43"/>
      <c r="G99" s="43"/>
      <c r="H99" s="43"/>
      <c r="I99" s="137"/>
      <c r="J99" s="137"/>
      <c r="K99" s="43"/>
      <c r="L99" s="94">
        <f t="shared" si="0"/>
        <v>0</v>
      </c>
      <c r="M99" s="96">
        <f t="shared" si="1"/>
        <v>0</v>
      </c>
      <c r="N99" s="96">
        <f t="shared" si="2"/>
        <v>0</v>
      </c>
      <c r="O99" s="35"/>
      <c r="P99" s="35"/>
      <c r="Q99" s="35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20.25" customHeight="1" x14ac:dyDescent="0.35">
      <c r="A100" s="88">
        <v>93</v>
      </c>
      <c r="B100" s="99" t="s">
        <v>127</v>
      </c>
      <c r="C100" s="101" t="s">
        <v>590</v>
      </c>
      <c r="D100" s="89"/>
      <c r="E100" s="43"/>
      <c r="F100" s="133"/>
      <c r="G100" s="43"/>
      <c r="H100" s="133"/>
      <c r="I100" s="43"/>
      <c r="J100" s="43"/>
      <c r="K100" s="123"/>
      <c r="L100" s="94">
        <f t="shared" si="0"/>
        <v>0</v>
      </c>
      <c r="M100" s="96">
        <f t="shared" si="1"/>
        <v>0</v>
      </c>
      <c r="N100" s="96">
        <f t="shared" si="2"/>
        <v>0</v>
      </c>
      <c r="O100" s="35"/>
      <c r="P100" s="35"/>
      <c r="Q100" s="35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3.5" customHeight="1" x14ac:dyDescent="0.35">
      <c r="A101" s="88">
        <v>94</v>
      </c>
      <c r="B101" s="11" t="s">
        <v>754</v>
      </c>
      <c r="C101" s="11" t="s">
        <v>179</v>
      </c>
      <c r="D101" s="89"/>
      <c r="E101" s="90"/>
      <c r="F101" s="90"/>
      <c r="G101" s="90"/>
      <c r="H101" s="90"/>
      <c r="I101" s="90"/>
      <c r="J101" s="90"/>
      <c r="K101" s="90"/>
      <c r="L101" s="94">
        <f t="shared" si="0"/>
        <v>0</v>
      </c>
      <c r="M101" s="96">
        <f t="shared" si="1"/>
        <v>0</v>
      </c>
      <c r="N101" s="96">
        <f t="shared" si="2"/>
        <v>0</v>
      </c>
      <c r="O101" s="35"/>
      <c r="P101" s="35"/>
      <c r="Q101" s="35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5" customHeight="1" x14ac:dyDescent="0.35">
      <c r="A102" s="88">
        <v>95</v>
      </c>
      <c r="B102" s="11" t="s">
        <v>553</v>
      </c>
      <c r="C102" s="11"/>
      <c r="D102" s="89"/>
      <c r="E102" s="90"/>
      <c r="F102" s="90"/>
      <c r="G102" s="90"/>
      <c r="H102" s="90"/>
      <c r="I102" s="90"/>
      <c r="J102" s="90"/>
      <c r="K102" s="140"/>
      <c r="L102" s="94">
        <f t="shared" si="0"/>
        <v>0</v>
      </c>
      <c r="M102" s="96">
        <f t="shared" si="1"/>
        <v>0</v>
      </c>
      <c r="N102" s="96">
        <f t="shared" si="2"/>
        <v>0</v>
      </c>
      <c r="O102" s="35"/>
      <c r="P102" s="35"/>
      <c r="Q102" s="35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4.25" customHeight="1" x14ac:dyDescent="0.35">
      <c r="A103" s="88">
        <v>96</v>
      </c>
      <c r="B103" s="99" t="s">
        <v>570</v>
      </c>
      <c r="C103" s="11" t="s">
        <v>807</v>
      </c>
      <c r="D103" s="89"/>
      <c r="E103" s="43"/>
      <c r="F103" s="133"/>
      <c r="G103" s="43"/>
      <c r="H103" s="133"/>
      <c r="I103" s="43"/>
      <c r="J103" s="43"/>
      <c r="K103" s="123"/>
      <c r="L103" s="94">
        <f t="shared" si="0"/>
        <v>0</v>
      </c>
      <c r="M103" s="96">
        <f t="shared" si="1"/>
        <v>0</v>
      </c>
      <c r="N103" s="96">
        <f t="shared" si="2"/>
        <v>0</v>
      </c>
      <c r="O103" s="35"/>
      <c r="P103" s="35"/>
      <c r="Q103" s="35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8.75" customHeight="1" x14ac:dyDescent="0.35">
      <c r="A104" s="88">
        <v>97</v>
      </c>
      <c r="B104" s="99" t="s">
        <v>262</v>
      </c>
      <c r="C104" s="11" t="s">
        <v>780</v>
      </c>
      <c r="D104" s="89"/>
      <c r="E104" s="14"/>
      <c r="F104" s="43"/>
      <c r="G104" s="43"/>
      <c r="H104" s="43"/>
      <c r="I104" s="43"/>
      <c r="J104" s="43"/>
      <c r="K104" s="43"/>
      <c r="L104" s="94">
        <f t="shared" si="0"/>
        <v>0</v>
      </c>
      <c r="M104" s="96">
        <f t="shared" si="1"/>
        <v>0</v>
      </c>
      <c r="N104" s="96">
        <f t="shared" si="2"/>
        <v>0</v>
      </c>
      <c r="O104" s="35"/>
      <c r="P104" s="35"/>
      <c r="Q104" s="35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5.5" x14ac:dyDescent="0.35">
      <c r="A105" s="88">
        <v>98</v>
      </c>
      <c r="B105" s="99" t="s">
        <v>170</v>
      </c>
      <c r="C105" s="101" t="s">
        <v>131</v>
      </c>
      <c r="D105" s="89"/>
      <c r="E105" s="43"/>
      <c r="F105" s="43"/>
      <c r="G105" s="43"/>
      <c r="H105" s="43"/>
      <c r="I105" s="43"/>
      <c r="J105" s="43"/>
      <c r="K105" s="43"/>
      <c r="L105" s="94">
        <f t="shared" si="0"/>
        <v>0</v>
      </c>
      <c r="M105" s="96">
        <f t="shared" si="1"/>
        <v>0</v>
      </c>
      <c r="N105" s="96">
        <f t="shared" si="2"/>
        <v>0</v>
      </c>
      <c r="O105" s="35"/>
      <c r="P105" s="35"/>
      <c r="Q105" s="35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5" customHeight="1" x14ac:dyDescent="0.35">
      <c r="A106" s="88">
        <v>99</v>
      </c>
      <c r="B106" s="138" t="s">
        <v>49</v>
      </c>
      <c r="C106" s="11" t="s">
        <v>245</v>
      </c>
      <c r="D106" s="89"/>
      <c r="E106" s="43"/>
      <c r="F106" s="43"/>
      <c r="G106" s="43"/>
      <c r="H106" s="43"/>
      <c r="I106" s="43"/>
      <c r="J106" s="43"/>
      <c r="K106" s="43"/>
      <c r="L106" s="94">
        <f t="shared" si="0"/>
        <v>0</v>
      </c>
      <c r="M106" s="96">
        <f t="shared" si="1"/>
        <v>0</v>
      </c>
      <c r="N106" s="96">
        <f t="shared" si="2"/>
        <v>0</v>
      </c>
      <c r="O106" s="35"/>
      <c r="P106" s="35"/>
      <c r="Q106" s="35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5.5" x14ac:dyDescent="0.35">
      <c r="A107" s="88">
        <v>100</v>
      </c>
      <c r="B107" s="99" t="s">
        <v>8</v>
      </c>
      <c r="C107" s="101" t="s">
        <v>855</v>
      </c>
      <c r="D107" s="89"/>
      <c r="E107" s="43"/>
      <c r="F107" s="43"/>
      <c r="G107" s="43"/>
      <c r="H107" s="43"/>
      <c r="I107" s="43"/>
      <c r="J107" s="43"/>
      <c r="K107" s="43"/>
      <c r="L107" s="94">
        <f t="shared" si="0"/>
        <v>0</v>
      </c>
      <c r="M107" s="96">
        <f t="shared" si="1"/>
        <v>0</v>
      </c>
      <c r="N107" s="96">
        <f t="shared" si="2"/>
        <v>0</v>
      </c>
      <c r="O107" s="35"/>
      <c r="P107" s="35"/>
      <c r="Q107" s="35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5.5" x14ac:dyDescent="0.35">
      <c r="A108" s="88">
        <v>101</v>
      </c>
      <c r="B108" s="99" t="s">
        <v>89</v>
      </c>
      <c r="C108" s="11" t="s">
        <v>164</v>
      </c>
      <c r="D108" s="89"/>
      <c r="E108" s="43"/>
      <c r="F108" s="43"/>
      <c r="G108" s="43"/>
      <c r="H108" s="43"/>
      <c r="I108" s="43"/>
      <c r="J108" s="43"/>
      <c r="K108" s="43"/>
      <c r="L108" s="94">
        <f t="shared" si="0"/>
        <v>0</v>
      </c>
      <c r="M108" s="96">
        <f t="shared" si="1"/>
        <v>0</v>
      </c>
      <c r="N108" s="96">
        <f t="shared" si="2"/>
        <v>0</v>
      </c>
      <c r="O108" s="35"/>
      <c r="P108" s="35"/>
      <c r="Q108" s="35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5.5" x14ac:dyDescent="0.35">
      <c r="A109" s="88">
        <v>102</v>
      </c>
      <c r="B109" s="99" t="s">
        <v>789</v>
      </c>
      <c r="C109" s="101" t="s">
        <v>790</v>
      </c>
      <c r="D109" s="89"/>
      <c r="E109" s="43"/>
      <c r="F109" s="43"/>
      <c r="G109" s="43"/>
      <c r="H109" s="43"/>
      <c r="I109" s="43"/>
      <c r="J109" s="43"/>
      <c r="K109" s="43"/>
      <c r="L109" s="94">
        <f t="shared" si="0"/>
        <v>0</v>
      </c>
      <c r="M109" s="96">
        <f t="shared" si="1"/>
        <v>0</v>
      </c>
      <c r="N109" s="96">
        <f t="shared" si="2"/>
        <v>0</v>
      </c>
      <c r="O109" s="35"/>
      <c r="P109" s="35"/>
      <c r="Q109" s="35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5.5" x14ac:dyDescent="0.35">
      <c r="A110" s="88">
        <v>103</v>
      </c>
      <c r="B110" s="99" t="s">
        <v>83</v>
      </c>
      <c r="C110" s="11" t="s">
        <v>131</v>
      </c>
      <c r="D110" s="89"/>
      <c r="E110" s="43"/>
      <c r="F110" s="43"/>
      <c r="G110" s="137"/>
      <c r="H110" s="137"/>
      <c r="I110" s="137"/>
      <c r="J110" s="43"/>
      <c r="K110" s="43"/>
      <c r="L110" s="94">
        <f t="shared" si="0"/>
        <v>0</v>
      </c>
      <c r="M110" s="96">
        <f t="shared" si="1"/>
        <v>0</v>
      </c>
      <c r="N110" s="96">
        <f t="shared" si="2"/>
        <v>0</v>
      </c>
      <c r="O110" s="35"/>
      <c r="P110" s="35"/>
      <c r="Q110" s="35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5.5" x14ac:dyDescent="0.35">
      <c r="A111" s="88">
        <v>104</v>
      </c>
      <c r="B111" s="11" t="s">
        <v>270</v>
      </c>
      <c r="C111" s="11"/>
      <c r="D111" s="89"/>
      <c r="E111" s="43"/>
      <c r="F111" s="14"/>
      <c r="G111" s="43"/>
      <c r="H111" s="43"/>
      <c r="I111" s="43"/>
      <c r="J111" s="43"/>
      <c r="K111" s="14"/>
      <c r="L111" s="94">
        <f t="shared" si="0"/>
        <v>0</v>
      </c>
      <c r="M111" s="96">
        <f t="shared" si="1"/>
        <v>0</v>
      </c>
      <c r="N111" s="96">
        <f t="shared" si="2"/>
        <v>0</v>
      </c>
      <c r="O111" s="35"/>
      <c r="P111" s="35"/>
      <c r="Q111" s="35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7.25" customHeight="1" x14ac:dyDescent="0.35">
      <c r="A112" s="88">
        <v>105</v>
      </c>
      <c r="B112" s="99" t="s">
        <v>899</v>
      </c>
      <c r="C112" s="11" t="s">
        <v>799</v>
      </c>
      <c r="D112" s="89"/>
      <c r="E112" s="43"/>
      <c r="F112" s="43"/>
      <c r="G112" s="43"/>
      <c r="H112" s="43"/>
      <c r="I112" s="43"/>
      <c r="J112" s="43"/>
      <c r="K112" s="43"/>
      <c r="L112" s="94">
        <f t="shared" si="0"/>
        <v>0</v>
      </c>
      <c r="M112" s="96">
        <f t="shared" si="1"/>
        <v>0</v>
      </c>
      <c r="N112" s="96">
        <f t="shared" si="2"/>
        <v>0</v>
      </c>
      <c r="O112" s="35"/>
      <c r="P112" s="35"/>
      <c r="Q112" s="35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6.5" customHeight="1" x14ac:dyDescent="0.35">
      <c r="A113" s="88">
        <v>106</v>
      </c>
      <c r="B113" s="99" t="s">
        <v>283</v>
      </c>
      <c r="C113" s="101" t="s">
        <v>813</v>
      </c>
      <c r="D113" s="89"/>
      <c r="E113" s="43"/>
      <c r="F113" s="14"/>
      <c r="G113" s="43"/>
      <c r="H113" s="43"/>
      <c r="I113" s="43"/>
      <c r="J113" s="43"/>
      <c r="K113" s="14"/>
      <c r="L113" s="94">
        <f t="shared" si="0"/>
        <v>0</v>
      </c>
      <c r="M113" s="96">
        <f t="shared" si="1"/>
        <v>0</v>
      </c>
      <c r="N113" s="96">
        <f t="shared" si="2"/>
        <v>0</v>
      </c>
      <c r="O113" s="35"/>
      <c r="P113" s="35"/>
      <c r="Q113" s="35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5.5" x14ac:dyDescent="0.35">
      <c r="A114" s="88">
        <v>107</v>
      </c>
      <c r="B114" s="138" t="s">
        <v>819</v>
      </c>
      <c r="C114" s="11" t="s">
        <v>821</v>
      </c>
      <c r="D114" s="89"/>
      <c r="E114" s="43"/>
      <c r="F114" s="43"/>
      <c r="G114" s="43"/>
      <c r="H114" s="43"/>
      <c r="I114" s="43"/>
      <c r="J114" s="43"/>
      <c r="K114" s="43"/>
      <c r="L114" s="94">
        <f t="shared" si="0"/>
        <v>0</v>
      </c>
      <c r="M114" s="96">
        <f t="shared" si="1"/>
        <v>0</v>
      </c>
      <c r="N114" s="96">
        <f t="shared" si="2"/>
        <v>0</v>
      </c>
      <c r="O114" s="35"/>
      <c r="P114" s="35"/>
      <c r="Q114" s="35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4.25" customHeight="1" x14ac:dyDescent="0.35">
      <c r="A115" s="88">
        <v>108</v>
      </c>
      <c r="B115" s="99" t="s">
        <v>358</v>
      </c>
      <c r="C115" s="101" t="s">
        <v>195</v>
      </c>
      <c r="D115" s="89"/>
      <c r="E115" s="43"/>
      <c r="F115" s="43"/>
      <c r="G115" s="137"/>
      <c r="H115" s="137"/>
      <c r="I115" s="137"/>
      <c r="J115" s="137"/>
      <c r="K115" s="137"/>
      <c r="L115" s="94">
        <f t="shared" si="0"/>
        <v>0</v>
      </c>
      <c r="M115" s="96">
        <f t="shared" si="1"/>
        <v>0</v>
      </c>
      <c r="N115" s="96">
        <f t="shared" si="2"/>
        <v>0</v>
      </c>
      <c r="O115" s="35"/>
      <c r="P115" s="35"/>
      <c r="Q115" s="35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5.5" x14ac:dyDescent="0.35">
      <c r="A116" s="88">
        <v>109</v>
      </c>
      <c r="B116" s="99" t="s">
        <v>459</v>
      </c>
      <c r="C116" s="101" t="s">
        <v>397</v>
      </c>
      <c r="D116" s="89"/>
      <c r="E116" s="43"/>
      <c r="F116" s="43"/>
      <c r="G116" s="43"/>
      <c r="H116" s="43"/>
      <c r="I116" s="43"/>
      <c r="J116" s="43"/>
      <c r="K116" s="43"/>
      <c r="L116" s="94">
        <f t="shared" si="0"/>
        <v>0</v>
      </c>
      <c r="M116" s="96">
        <f t="shared" si="1"/>
        <v>0</v>
      </c>
      <c r="N116" s="96">
        <f t="shared" si="2"/>
        <v>0</v>
      </c>
      <c r="O116" s="35"/>
      <c r="P116" s="35"/>
      <c r="Q116" s="35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5.5" x14ac:dyDescent="0.35">
      <c r="A117" s="88">
        <v>110</v>
      </c>
      <c r="B117" s="99" t="s">
        <v>835</v>
      </c>
      <c r="C117" s="101" t="s">
        <v>113</v>
      </c>
      <c r="D117" s="89"/>
      <c r="E117" s="43"/>
      <c r="F117" s="14"/>
      <c r="G117" s="14"/>
      <c r="H117" s="14"/>
      <c r="I117" s="14"/>
      <c r="J117" s="14"/>
      <c r="K117" s="14"/>
      <c r="L117" s="94">
        <f t="shared" si="0"/>
        <v>0</v>
      </c>
      <c r="M117" s="96">
        <f t="shared" si="1"/>
        <v>0</v>
      </c>
      <c r="N117" s="96">
        <f t="shared" si="2"/>
        <v>0</v>
      </c>
      <c r="O117" s="35"/>
      <c r="P117" s="35"/>
      <c r="Q117" s="35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5.5" x14ac:dyDescent="0.35">
      <c r="A118" s="88">
        <v>111</v>
      </c>
      <c r="B118" s="99" t="s">
        <v>391</v>
      </c>
      <c r="C118" s="11" t="s">
        <v>587</v>
      </c>
      <c r="D118" s="89"/>
      <c r="E118" s="43"/>
      <c r="F118" s="43"/>
      <c r="G118" s="43"/>
      <c r="H118" s="43"/>
      <c r="I118" s="43"/>
      <c r="J118" s="43"/>
      <c r="K118" s="43"/>
      <c r="L118" s="94">
        <f t="shared" si="0"/>
        <v>0</v>
      </c>
      <c r="M118" s="96">
        <f t="shared" si="1"/>
        <v>0</v>
      </c>
      <c r="N118" s="96">
        <f t="shared" si="2"/>
        <v>0</v>
      </c>
      <c r="O118" s="35"/>
      <c r="P118" s="35"/>
      <c r="Q118" s="35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5" customHeight="1" x14ac:dyDescent="0.35">
      <c r="A119" s="88">
        <v>112</v>
      </c>
      <c r="B119" s="99" t="s">
        <v>719</v>
      </c>
      <c r="C119" s="11" t="s">
        <v>862</v>
      </c>
      <c r="D119" s="89"/>
      <c r="E119" s="43"/>
      <c r="F119" s="43"/>
      <c r="G119" s="43"/>
      <c r="H119" s="43"/>
      <c r="I119" s="43"/>
      <c r="J119" s="43"/>
      <c r="K119" s="43"/>
      <c r="L119" s="94">
        <f t="shared" si="0"/>
        <v>0</v>
      </c>
      <c r="M119" s="96">
        <f t="shared" si="1"/>
        <v>0</v>
      </c>
      <c r="N119" s="96">
        <f t="shared" si="2"/>
        <v>0</v>
      </c>
      <c r="O119" s="35"/>
      <c r="P119" s="35"/>
      <c r="Q119" s="35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5" customHeight="1" x14ac:dyDescent="0.35">
      <c r="A120" s="88">
        <v>113</v>
      </c>
      <c r="B120" s="99" t="s">
        <v>624</v>
      </c>
      <c r="C120" s="11" t="s">
        <v>978</v>
      </c>
      <c r="D120" s="89"/>
      <c r="E120" s="43"/>
      <c r="F120" s="43"/>
      <c r="G120" s="43"/>
      <c r="H120" s="43"/>
      <c r="I120" s="43"/>
      <c r="J120" s="43"/>
      <c r="K120" s="43"/>
      <c r="L120" s="94">
        <f t="shared" si="0"/>
        <v>0</v>
      </c>
      <c r="M120" s="96">
        <f t="shared" si="1"/>
        <v>0</v>
      </c>
      <c r="N120" s="96">
        <f t="shared" si="2"/>
        <v>0</v>
      </c>
      <c r="O120" s="35"/>
      <c r="P120" s="35"/>
      <c r="Q120" s="35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5" customHeight="1" x14ac:dyDescent="0.35">
      <c r="A121" s="88">
        <v>114</v>
      </c>
      <c r="B121" s="99" t="s">
        <v>161</v>
      </c>
      <c r="C121" s="101" t="s">
        <v>872</v>
      </c>
      <c r="D121" s="89"/>
      <c r="E121" s="90"/>
      <c r="F121" s="90"/>
      <c r="G121" s="90"/>
      <c r="H121" s="90"/>
      <c r="I121" s="90"/>
      <c r="J121" s="90"/>
      <c r="K121" s="90"/>
      <c r="L121" s="94">
        <f t="shared" si="0"/>
        <v>0</v>
      </c>
      <c r="M121" s="96">
        <f t="shared" si="1"/>
        <v>0</v>
      </c>
      <c r="N121" s="96">
        <f t="shared" si="2"/>
        <v>0</v>
      </c>
      <c r="O121" s="35"/>
      <c r="P121" s="35"/>
      <c r="Q121" s="35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5" customHeight="1" x14ac:dyDescent="0.35">
      <c r="A122" s="88">
        <v>115</v>
      </c>
      <c r="B122" s="11" t="s">
        <v>363</v>
      </c>
      <c r="C122" s="11" t="s">
        <v>412</v>
      </c>
      <c r="D122" s="89"/>
      <c r="E122" s="43"/>
      <c r="F122" s="43"/>
      <c r="G122" s="43"/>
      <c r="H122" s="43"/>
      <c r="I122" s="43"/>
      <c r="J122" s="43"/>
      <c r="K122" s="43"/>
      <c r="L122" s="94">
        <f t="shared" si="0"/>
        <v>0</v>
      </c>
      <c r="M122" s="96">
        <f t="shared" si="1"/>
        <v>0</v>
      </c>
      <c r="N122" s="96">
        <f t="shared" si="2"/>
        <v>0</v>
      </c>
      <c r="O122" s="35"/>
      <c r="P122" s="35"/>
      <c r="Q122" s="35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5" customHeight="1" x14ac:dyDescent="0.35">
      <c r="A123" s="88">
        <v>116</v>
      </c>
      <c r="B123" s="99" t="s">
        <v>888</v>
      </c>
      <c r="C123" s="101" t="s">
        <v>889</v>
      </c>
      <c r="D123" s="89"/>
      <c r="E123" s="43"/>
      <c r="F123" s="43"/>
      <c r="G123" s="43"/>
      <c r="H123" s="43"/>
      <c r="I123" s="43"/>
      <c r="J123" s="43"/>
      <c r="K123" s="43"/>
      <c r="L123" s="94">
        <f t="shared" si="0"/>
        <v>0</v>
      </c>
      <c r="M123" s="96">
        <f t="shared" si="1"/>
        <v>0</v>
      </c>
      <c r="N123" s="96">
        <f t="shared" si="2"/>
        <v>0</v>
      </c>
      <c r="O123" s="35"/>
      <c r="P123" s="35"/>
      <c r="Q123" s="35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5" customHeight="1" x14ac:dyDescent="0.35">
      <c r="A124" s="88">
        <v>117</v>
      </c>
      <c r="B124" s="99" t="s">
        <v>382</v>
      </c>
      <c r="C124" s="101" t="s">
        <v>896</v>
      </c>
      <c r="D124" s="89"/>
      <c r="E124" s="43"/>
      <c r="F124" s="43"/>
      <c r="G124" s="43"/>
      <c r="H124" s="43"/>
      <c r="I124" s="43"/>
      <c r="J124" s="43"/>
      <c r="K124" s="43"/>
      <c r="L124" s="94">
        <f t="shared" si="0"/>
        <v>0</v>
      </c>
      <c r="M124" s="96">
        <f t="shared" si="1"/>
        <v>0</v>
      </c>
      <c r="N124" s="96">
        <f t="shared" si="2"/>
        <v>0</v>
      </c>
      <c r="O124" s="35"/>
      <c r="P124" s="35"/>
      <c r="Q124" s="35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5" customHeight="1" x14ac:dyDescent="0.35">
      <c r="A125" s="88">
        <v>118</v>
      </c>
      <c r="B125" s="99" t="s">
        <v>165</v>
      </c>
      <c r="C125" s="101" t="s">
        <v>140</v>
      </c>
      <c r="D125" s="89"/>
      <c r="E125" s="43"/>
      <c r="F125" s="43"/>
      <c r="G125" s="43"/>
      <c r="H125" s="43"/>
      <c r="I125" s="43"/>
      <c r="J125" s="43"/>
      <c r="K125" s="43"/>
      <c r="L125" s="94">
        <f t="shared" si="0"/>
        <v>0</v>
      </c>
      <c r="M125" s="96">
        <f t="shared" si="1"/>
        <v>0</v>
      </c>
      <c r="N125" s="96">
        <f t="shared" si="2"/>
        <v>0</v>
      </c>
      <c r="O125" s="35"/>
      <c r="P125" s="35"/>
      <c r="Q125" s="35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5" customHeight="1" x14ac:dyDescent="0.35">
      <c r="A126" s="88">
        <v>119</v>
      </c>
      <c r="B126" s="11" t="s">
        <v>554</v>
      </c>
      <c r="C126" s="11" t="s">
        <v>140</v>
      </c>
      <c r="D126" s="89"/>
      <c r="E126" s="43"/>
      <c r="F126" s="43"/>
      <c r="G126" s="43"/>
      <c r="H126" s="43"/>
      <c r="I126" s="43"/>
      <c r="J126" s="43"/>
      <c r="K126" s="43"/>
      <c r="L126" s="94">
        <f t="shared" si="0"/>
        <v>0</v>
      </c>
      <c r="M126" s="96">
        <f t="shared" si="1"/>
        <v>0</v>
      </c>
      <c r="N126" s="96">
        <f t="shared" si="2"/>
        <v>0</v>
      </c>
      <c r="O126" s="35"/>
      <c r="P126" s="35"/>
      <c r="Q126" s="35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5" customHeight="1" x14ac:dyDescent="0.35">
      <c r="A127" s="88">
        <v>120</v>
      </c>
      <c r="B127" s="99" t="s">
        <v>709</v>
      </c>
      <c r="C127" s="129" t="s">
        <v>919</v>
      </c>
      <c r="D127" s="89"/>
      <c r="E127" s="90"/>
      <c r="F127" s="90"/>
      <c r="G127" s="90"/>
      <c r="H127" s="90"/>
      <c r="I127" s="90"/>
      <c r="J127" s="90"/>
      <c r="K127" s="90"/>
      <c r="L127" s="94">
        <f t="shared" si="0"/>
        <v>0</v>
      </c>
      <c r="M127" s="96">
        <f t="shared" si="1"/>
        <v>0</v>
      </c>
      <c r="N127" s="96">
        <f t="shared" si="2"/>
        <v>0</v>
      </c>
      <c r="O127" s="35"/>
      <c r="P127" s="35"/>
      <c r="Q127" s="35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5" customHeight="1" x14ac:dyDescent="0.35">
      <c r="A128" s="88">
        <v>121</v>
      </c>
      <c r="B128" s="149" t="s">
        <v>335</v>
      </c>
      <c r="C128" s="129" t="s">
        <v>179</v>
      </c>
      <c r="D128" s="89"/>
      <c r="E128" s="133"/>
      <c r="F128" s="43"/>
      <c r="G128" s="43"/>
      <c r="H128" s="43"/>
      <c r="I128" s="43"/>
      <c r="J128" s="43"/>
      <c r="K128" s="43"/>
      <c r="L128" s="94">
        <f t="shared" si="0"/>
        <v>0</v>
      </c>
      <c r="M128" s="96">
        <f t="shared" si="1"/>
        <v>0</v>
      </c>
      <c r="N128" s="96">
        <f t="shared" si="2"/>
        <v>0</v>
      </c>
      <c r="O128" s="35"/>
      <c r="P128" s="35"/>
      <c r="Q128" s="35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5" customHeight="1" x14ac:dyDescent="0.35">
      <c r="A129" s="88">
        <v>122</v>
      </c>
      <c r="B129" s="11" t="s">
        <v>501</v>
      </c>
      <c r="C129" s="11" t="s">
        <v>140</v>
      </c>
      <c r="D129" s="89"/>
      <c r="E129" s="90"/>
      <c r="F129" s="90"/>
      <c r="G129" s="90"/>
      <c r="H129" s="90"/>
      <c r="I129" s="90"/>
      <c r="J129" s="90"/>
      <c r="K129" s="90"/>
      <c r="L129" s="94">
        <f t="shared" si="0"/>
        <v>0</v>
      </c>
      <c r="M129" s="96">
        <f t="shared" si="1"/>
        <v>0</v>
      </c>
      <c r="N129" s="96">
        <f t="shared" si="2"/>
        <v>0</v>
      </c>
      <c r="O129" s="35"/>
      <c r="P129" s="35"/>
      <c r="Q129" s="35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5" customHeight="1" x14ac:dyDescent="0.35">
      <c r="A130" s="88">
        <v>123</v>
      </c>
      <c r="B130" s="99" t="s">
        <v>517</v>
      </c>
      <c r="C130" s="11" t="s">
        <v>969</v>
      </c>
      <c r="D130" s="89"/>
      <c r="E130" s="14"/>
      <c r="F130" s="43"/>
      <c r="G130" s="43"/>
      <c r="H130" s="43"/>
      <c r="I130" s="43"/>
      <c r="J130" s="43"/>
      <c r="K130" s="43"/>
      <c r="L130" s="94">
        <f t="shared" si="0"/>
        <v>0</v>
      </c>
      <c r="M130" s="96">
        <f t="shared" si="1"/>
        <v>0</v>
      </c>
      <c r="N130" s="96">
        <f t="shared" si="2"/>
        <v>0</v>
      </c>
      <c r="O130" s="35"/>
      <c r="P130" s="35"/>
      <c r="Q130" s="35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5" customHeight="1" x14ac:dyDescent="0.35">
      <c r="A131" s="88">
        <v>124</v>
      </c>
      <c r="B131" s="99" t="s">
        <v>588</v>
      </c>
      <c r="C131" s="101" t="s">
        <v>590</v>
      </c>
      <c r="D131" s="89"/>
      <c r="E131" s="43"/>
      <c r="F131" s="43"/>
      <c r="G131" s="43"/>
      <c r="H131" s="43"/>
      <c r="I131" s="43"/>
      <c r="J131" s="43"/>
      <c r="K131" s="43"/>
      <c r="L131" s="94">
        <f t="shared" si="0"/>
        <v>0</v>
      </c>
      <c r="M131" s="96">
        <f t="shared" si="1"/>
        <v>0</v>
      </c>
      <c r="N131" s="96">
        <f t="shared" si="2"/>
        <v>0</v>
      </c>
      <c r="O131" s="35"/>
      <c r="P131" s="35"/>
      <c r="Q131" s="35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5" customHeight="1" x14ac:dyDescent="0.35">
      <c r="A132" s="88">
        <v>125</v>
      </c>
      <c r="B132" s="99" t="s">
        <v>630</v>
      </c>
      <c r="C132" s="101" t="s">
        <v>958</v>
      </c>
      <c r="D132" s="89"/>
      <c r="E132" s="43"/>
      <c r="F132" s="43"/>
      <c r="G132" s="43"/>
      <c r="H132" s="43"/>
      <c r="I132" s="43"/>
      <c r="J132" s="43"/>
      <c r="K132" s="14"/>
      <c r="L132" s="94">
        <f t="shared" si="0"/>
        <v>0</v>
      </c>
      <c r="M132" s="96">
        <f t="shared" si="1"/>
        <v>0</v>
      </c>
      <c r="N132" s="96">
        <f t="shared" si="2"/>
        <v>0</v>
      </c>
      <c r="O132" s="35"/>
      <c r="P132" s="35"/>
      <c r="Q132" s="35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5" customHeight="1" x14ac:dyDescent="0.35">
      <c r="A133" s="88">
        <v>126</v>
      </c>
      <c r="B133" s="99" t="s">
        <v>1076</v>
      </c>
      <c r="C133" s="11" t="s">
        <v>215</v>
      </c>
      <c r="D133" s="89"/>
      <c r="E133" s="43"/>
      <c r="F133" s="43"/>
      <c r="G133" s="43"/>
      <c r="H133" s="43"/>
      <c r="I133" s="43"/>
      <c r="J133" s="43"/>
      <c r="K133" s="43"/>
      <c r="L133" s="94">
        <f t="shared" si="0"/>
        <v>0</v>
      </c>
      <c r="M133" s="96">
        <f t="shared" si="1"/>
        <v>0</v>
      </c>
      <c r="N133" s="96">
        <f t="shared" si="2"/>
        <v>0</v>
      </c>
      <c r="O133" s="35"/>
      <c r="P133" s="35"/>
      <c r="Q133" s="35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5" customHeight="1" x14ac:dyDescent="0.35">
      <c r="A134" s="88">
        <v>127</v>
      </c>
      <c r="B134" s="138" t="s">
        <v>983</v>
      </c>
      <c r="C134" s="11" t="s">
        <v>984</v>
      </c>
      <c r="D134" s="89"/>
      <c r="E134" s="43"/>
      <c r="F134" s="43"/>
      <c r="G134" s="43"/>
      <c r="H134" s="43"/>
      <c r="I134" s="43"/>
      <c r="J134" s="43"/>
      <c r="K134" s="43"/>
      <c r="L134" s="94">
        <f t="shared" si="0"/>
        <v>0</v>
      </c>
      <c r="M134" s="96">
        <f t="shared" si="1"/>
        <v>0</v>
      </c>
      <c r="N134" s="96">
        <f t="shared" si="2"/>
        <v>0</v>
      </c>
      <c r="O134" s="35"/>
      <c r="P134" s="35"/>
      <c r="Q134" s="35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5" customHeight="1" x14ac:dyDescent="0.35">
      <c r="A135" s="88">
        <v>128</v>
      </c>
      <c r="B135" s="99" t="s">
        <v>601</v>
      </c>
      <c r="C135" s="101" t="s">
        <v>567</v>
      </c>
      <c r="D135" s="89"/>
      <c r="E135" s="43"/>
      <c r="F135" s="43"/>
      <c r="G135" s="43"/>
      <c r="H135" s="43"/>
      <c r="I135" s="43"/>
      <c r="J135" s="43"/>
      <c r="K135" s="43"/>
      <c r="L135" s="94">
        <f t="shared" si="0"/>
        <v>0</v>
      </c>
      <c r="M135" s="96">
        <f t="shared" si="1"/>
        <v>0</v>
      </c>
      <c r="N135" s="96">
        <f t="shared" si="2"/>
        <v>0</v>
      </c>
      <c r="O135" s="35"/>
      <c r="P135" s="35"/>
      <c r="Q135" s="35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5" customHeight="1" x14ac:dyDescent="0.35">
      <c r="A136" s="88">
        <v>129</v>
      </c>
      <c r="B136" s="99" t="s">
        <v>411</v>
      </c>
      <c r="C136" s="101" t="s">
        <v>140</v>
      </c>
      <c r="D136" s="89"/>
      <c r="E136" s="90"/>
      <c r="F136" s="90"/>
      <c r="G136" s="90"/>
      <c r="H136" s="90"/>
      <c r="I136" s="90"/>
      <c r="J136" s="90"/>
      <c r="K136" s="90"/>
      <c r="L136" s="94">
        <f t="shared" si="0"/>
        <v>0</v>
      </c>
      <c r="M136" s="96">
        <f t="shared" si="1"/>
        <v>0</v>
      </c>
      <c r="N136" s="96">
        <f t="shared" si="2"/>
        <v>0</v>
      </c>
      <c r="O136" s="35"/>
      <c r="P136" s="35"/>
      <c r="Q136" s="35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5" customHeight="1" x14ac:dyDescent="0.35">
      <c r="A137" s="88">
        <v>131</v>
      </c>
      <c r="B137" s="99" t="s">
        <v>344</v>
      </c>
      <c r="C137" s="150" t="s">
        <v>567</v>
      </c>
      <c r="D137" s="89"/>
      <c r="E137" s="267"/>
      <c r="F137" s="43"/>
      <c r="G137" s="43"/>
      <c r="H137" s="43"/>
      <c r="I137" s="43"/>
      <c r="J137" s="43"/>
      <c r="K137" s="43"/>
      <c r="L137" s="94">
        <f t="shared" si="0"/>
        <v>0</v>
      </c>
      <c r="M137" s="96">
        <f t="shared" si="1"/>
        <v>0</v>
      </c>
      <c r="N137" s="96">
        <f t="shared" si="2"/>
        <v>0</v>
      </c>
      <c r="O137" s="35"/>
      <c r="P137" s="35"/>
      <c r="Q137" s="35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5" customHeight="1" x14ac:dyDescent="0.35">
      <c r="A138" s="88">
        <v>132</v>
      </c>
      <c r="B138" s="101" t="s">
        <v>1104</v>
      </c>
      <c r="C138" s="101" t="s">
        <v>1068</v>
      </c>
      <c r="D138" s="89"/>
      <c r="E138" s="43"/>
      <c r="F138" s="43"/>
      <c r="G138" s="43"/>
      <c r="H138" s="43"/>
      <c r="I138" s="43"/>
      <c r="J138" s="43"/>
      <c r="K138" s="43"/>
      <c r="L138" s="94">
        <f t="shared" si="0"/>
        <v>0</v>
      </c>
      <c r="M138" s="96">
        <f t="shared" si="1"/>
        <v>0</v>
      </c>
      <c r="N138" s="96">
        <f t="shared" si="2"/>
        <v>0</v>
      </c>
      <c r="O138" s="35"/>
      <c r="P138" s="35"/>
      <c r="Q138" s="35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5" customHeight="1" x14ac:dyDescent="0.35">
      <c r="A139" s="88">
        <v>133</v>
      </c>
      <c r="B139" s="149" t="s">
        <v>322</v>
      </c>
      <c r="C139" s="129" t="s">
        <v>1022</v>
      </c>
      <c r="D139" s="89"/>
      <c r="E139" s="133"/>
      <c r="F139" s="43"/>
      <c r="G139" s="43"/>
      <c r="H139" s="43"/>
      <c r="I139" s="43"/>
      <c r="J139" s="43"/>
      <c r="K139" s="43"/>
      <c r="L139" s="94">
        <f t="shared" si="0"/>
        <v>0</v>
      </c>
      <c r="M139" s="96">
        <f t="shared" si="1"/>
        <v>0</v>
      </c>
      <c r="N139" s="96">
        <f t="shared" si="2"/>
        <v>0</v>
      </c>
      <c r="O139" s="35"/>
      <c r="P139" s="35"/>
      <c r="Q139" s="35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5" customHeight="1" x14ac:dyDescent="0.35">
      <c r="A140" s="88">
        <v>134</v>
      </c>
      <c r="B140" s="149" t="s">
        <v>617</v>
      </c>
      <c r="C140" s="129" t="s">
        <v>140</v>
      </c>
      <c r="D140" s="89"/>
      <c r="E140" s="133"/>
      <c r="F140" s="43"/>
      <c r="G140" s="43"/>
      <c r="H140" s="43"/>
      <c r="I140" s="43"/>
      <c r="J140" s="43"/>
      <c r="K140" s="43"/>
      <c r="L140" s="94">
        <f t="shared" si="0"/>
        <v>0</v>
      </c>
      <c r="M140" s="96">
        <f t="shared" si="1"/>
        <v>0</v>
      </c>
      <c r="N140" s="96">
        <f t="shared" si="2"/>
        <v>0</v>
      </c>
      <c r="O140" s="35"/>
      <c r="P140" s="35"/>
      <c r="Q140" s="35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5" customHeight="1" x14ac:dyDescent="0.35">
      <c r="A141" s="88">
        <v>135</v>
      </c>
      <c r="B141" s="99" t="s">
        <v>1042</v>
      </c>
      <c r="C141" s="101" t="s">
        <v>140</v>
      </c>
      <c r="D141" s="89"/>
      <c r="E141" s="90"/>
      <c r="F141" s="90"/>
      <c r="G141" s="90"/>
      <c r="H141" s="90"/>
      <c r="I141" s="90"/>
      <c r="J141" s="90"/>
      <c r="K141" s="90"/>
      <c r="L141" s="94">
        <f t="shared" si="0"/>
        <v>0</v>
      </c>
      <c r="M141" s="96">
        <f t="shared" si="1"/>
        <v>0</v>
      </c>
      <c r="N141" s="96">
        <f t="shared" si="2"/>
        <v>0</v>
      </c>
      <c r="O141" s="35"/>
      <c r="P141" s="35"/>
      <c r="Q141" s="35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5" customHeight="1" x14ac:dyDescent="0.35">
      <c r="A142" s="88">
        <v>136</v>
      </c>
      <c r="B142" s="99" t="s">
        <v>116</v>
      </c>
      <c r="C142" s="11" t="s">
        <v>215</v>
      </c>
      <c r="D142" s="89"/>
      <c r="E142" s="43"/>
      <c r="F142" s="43"/>
      <c r="G142" s="43"/>
      <c r="H142" s="43"/>
      <c r="I142" s="43"/>
      <c r="J142" s="43"/>
      <c r="K142" s="43"/>
      <c r="L142" s="94">
        <f t="shared" si="0"/>
        <v>0</v>
      </c>
      <c r="M142" s="96">
        <f t="shared" si="1"/>
        <v>0</v>
      </c>
      <c r="N142" s="96">
        <f t="shared" si="2"/>
        <v>0</v>
      </c>
      <c r="O142" s="35"/>
      <c r="P142" s="35"/>
      <c r="Q142" s="35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5" customHeight="1" x14ac:dyDescent="0.35">
      <c r="A143" s="88">
        <v>137</v>
      </c>
      <c r="B143" s="149" t="s">
        <v>1049</v>
      </c>
      <c r="C143" s="129" t="s">
        <v>1050</v>
      </c>
      <c r="D143" s="89"/>
      <c r="E143" s="133"/>
      <c r="F143" s="43"/>
      <c r="G143" s="43"/>
      <c r="H143" s="43"/>
      <c r="I143" s="43"/>
      <c r="J143" s="43"/>
      <c r="K143" s="43"/>
      <c r="L143" s="94">
        <f t="shared" si="0"/>
        <v>0</v>
      </c>
      <c r="M143" s="96">
        <f t="shared" si="1"/>
        <v>0</v>
      </c>
      <c r="N143" s="96">
        <f t="shared" si="2"/>
        <v>0</v>
      </c>
      <c r="O143" s="35"/>
      <c r="P143" s="35"/>
      <c r="Q143" s="35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5" customHeight="1" x14ac:dyDescent="0.35">
      <c r="A144" s="88">
        <v>138</v>
      </c>
      <c r="B144" s="11" t="s">
        <v>419</v>
      </c>
      <c r="C144" s="11" t="s">
        <v>1059</v>
      </c>
      <c r="D144" s="89"/>
      <c r="E144" s="43"/>
      <c r="F144" s="43"/>
      <c r="G144" s="43"/>
      <c r="H144" s="43"/>
      <c r="I144" s="43"/>
      <c r="J144" s="43"/>
      <c r="K144" s="43"/>
      <c r="L144" s="94">
        <f t="shared" si="0"/>
        <v>0</v>
      </c>
      <c r="M144" s="96">
        <f t="shared" si="1"/>
        <v>0</v>
      </c>
      <c r="N144" s="96">
        <f t="shared" si="2"/>
        <v>0</v>
      </c>
      <c r="O144" s="35"/>
      <c r="P144" s="35"/>
      <c r="Q144" s="35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5" customHeight="1" x14ac:dyDescent="0.35">
      <c r="A145" s="88">
        <v>139</v>
      </c>
      <c r="B145" s="99" t="s">
        <v>1063</v>
      </c>
      <c r="C145" s="129" t="s">
        <v>1143</v>
      </c>
      <c r="D145" s="89"/>
      <c r="E145" s="43"/>
      <c r="F145" s="43"/>
      <c r="G145" s="43"/>
      <c r="H145" s="43"/>
      <c r="I145" s="43"/>
      <c r="J145" s="43"/>
      <c r="K145" s="43"/>
      <c r="L145" s="94">
        <f t="shared" si="0"/>
        <v>0</v>
      </c>
      <c r="M145" s="96">
        <f t="shared" si="1"/>
        <v>0</v>
      </c>
      <c r="N145" s="96">
        <f t="shared" si="2"/>
        <v>0</v>
      </c>
      <c r="O145" s="35"/>
      <c r="P145" s="35"/>
      <c r="Q145" s="35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5" customHeight="1" x14ac:dyDescent="0.35">
      <c r="A146" s="88">
        <v>140</v>
      </c>
      <c r="B146" s="99" t="s">
        <v>1075</v>
      </c>
      <c r="C146" s="101" t="s">
        <v>113</v>
      </c>
      <c r="D146" s="89"/>
      <c r="E146" s="43"/>
      <c r="F146" s="43"/>
      <c r="G146" s="43"/>
      <c r="H146" s="43"/>
      <c r="I146" s="43"/>
      <c r="J146" s="43"/>
      <c r="K146" s="43"/>
      <c r="L146" s="94">
        <f t="shared" si="0"/>
        <v>0</v>
      </c>
      <c r="M146" s="96">
        <f t="shared" si="1"/>
        <v>0</v>
      </c>
      <c r="N146" s="96">
        <f t="shared" si="2"/>
        <v>0</v>
      </c>
      <c r="O146" s="35"/>
      <c r="P146" s="35"/>
      <c r="Q146" s="35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5" customHeight="1" x14ac:dyDescent="0.35">
      <c r="A147" s="88">
        <v>141</v>
      </c>
      <c r="B147" s="11" t="s">
        <v>442</v>
      </c>
      <c r="C147" s="11" t="s">
        <v>113</v>
      </c>
      <c r="D147" s="89"/>
      <c r="E147" s="43"/>
      <c r="F147" s="43"/>
      <c r="G147" s="43"/>
      <c r="H147" s="43"/>
      <c r="I147" s="43"/>
      <c r="J147" s="43"/>
      <c r="K147" s="43"/>
      <c r="L147" s="94">
        <f t="shared" si="0"/>
        <v>0</v>
      </c>
      <c r="M147" s="96">
        <f t="shared" si="1"/>
        <v>0</v>
      </c>
      <c r="N147" s="96">
        <f t="shared" si="2"/>
        <v>0</v>
      </c>
      <c r="O147" s="35"/>
      <c r="P147" s="35"/>
      <c r="Q147" s="35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5" customHeight="1" x14ac:dyDescent="0.35">
      <c r="A148" s="88">
        <v>142</v>
      </c>
      <c r="B148" s="11" t="s">
        <v>189</v>
      </c>
      <c r="C148" s="11" t="s">
        <v>179</v>
      </c>
      <c r="D148" s="89"/>
      <c r="E148" s="43"/>
      <c r="F148" s="43"/>
      <c r="G148" s="43"/>
      <c r="H148" s="43"/>
      <c r="I148" s="43"/>
      <c r="J148" s="43"/>
      <c r="K148" s="43"/>
      <c r="L148" s="94">
        <f t="shared" si="0"/>
        <v>0</v>
      </c>
      <c r="M148" s="96">
        <f t="shared" si="1"/>
        <v>0</v>
      </c>
      <c r="N148" s="96">
        <f t="shared" si="2"/>
        <v>0</v>
      </c>
      <c r="O148" s="35"/>
      <c r="P148" s="35"/>
      <c r="Q148" s="35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5" customHeight="1" x14ac:dyDescent="0.35">
      <c r="A149" s="88">
        <v>143</v>
      </c>
      <c r="B149" s="99" t="s">
        <v>18</v>
      </c>
      <c r="C149" s="101" t="s">
        <v>1084</v>
      </c>
      <c r="D149" s="89"/>
      <c r="E149" s="43"/>
      <c r="F149" s="43"/>
      <c r="G149" s="43"/>
      <c r="H149" s="43"/>
      <c r="I149" s="43"/>
      <c r="J149" s="43"/>
      <c r="K149" s="43"/>
      <c r="L149" s="94">
        <f t="shared" si="0"/>
        <v>0</v>
      </c>
      <c r="M149" s="96">
        <f t="shared" si="1"/>
        <v>0</v>
      </c>
      <c r="N149" s="96">
        <f t="shared" si="2"/>
        <v>0</v>
      </c>
      <c r="O149" s="35"/>
      <c r="P149" s="35"/>
      <c r="Q149" s="35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5" customHeight="1" x14ac:dyDescent="0.35">
      <c r="A150" s="88">
        <v>144</v>
      </c>
      <c r="B150" s="11" t="s">
        <v>426</v>
      </c>
      <c r="C150" s="11" t="s">
        <v>1089</v>
      </c>
      <c r="D150" s="89"/>
      <c r="E150" s="43"/>
      <c r="F150" s="43"/>
      <c r="G150" s="43"/>
      <c r="H150" s="43"/>
      <c r="I150" s="43"/>
      <c r="J150" s="43"/>
      <c r="K150" s="43"/>
      <c r="L150" s="94">
        <f t="shared" si="0"/>
        <v>0</v>
      </c>
      <c r="M150" s="96">
        <f t="shared" si="1"/>
        <v>0</v>
      </c>
      <c r="N150" s="96">
        <f t="shared" si="2"/>
        <v>0</v>
      </c>
      <c r="O150" s="35"/>
      <c r="P150" s="35"/>
      <c r="Q150" s="35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5" customHeight="1" x14ac:dyDescent="0.35">
      <c r="A151" s="88">
        <v>145</v>
      </c>
      <c r="B151" s="149" t="s">
        <v>333</v>
      </c>
      <c r="C151" s="129" t="s">
        <v>179</v>
      </c>
      <c r="D151" s="89"/>
      <c r="E151" s="133"/>
      <c r="F151" s="43"/>
      <c r="G151" s="43"/>
      <c r="H151" s="43"/>
      <c r="I151" s="43"/>
      <c r="J151" s="43"/>
      <c r="K151" s="43"/>
      <c r="L151" s="94">
        <f t="shared" si="0"/>
        <v>0</v>
      </c>
      <c r="M151" s="96">
        <f t="shared" si="1"/>
        <v>0</v>
      </c>
      <c r="N151" s="96">
        <f t="shared" si="2"/>
        <v>0</v>
      </c>
      <c r="O151" s="35"/>
      <c r="P151" s="35"/>
      <c r="Q151" s="35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5" customHeight="1" x14ac:dyDescent="0.35">
      <c r="A152" s="88">
        <v>146</v>
      </c>
      <c r="B152" s="99" t="s">
        <v>14</v>
      </c>
      <c r="C152" s="101" t="s">
        <v>1123</v>
      </c>
      <c r="D152" s="89"/>
      <c r="E152" s="43"/>
      <c r="F152" s="43"/>
      <c r="G152" s="43"/>
      <c r="H152" s="43"/>
      <c r="I152" s="43"/>
      <c r="J152" s="43"/>
      <c r="K152" s="43"/>
      <c r="L152" s="94">
        <f t="shared" si="0"/>
        <v>0</v>
      </c>
      <c r="M152" s="96">
        <f t="shared" si="1"/>
        <v>0</v>
      </c>
      <c r="N152" s="96">
        <f t="shared" si="2"/>
        <v>0</v>
      </c>
      <c r="O152" s="35"/>
      <c r="P152" s="35"/>
      <c r="Q152" s="35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5" customHeight="1" x14ac:dyDescent="0.35">
      <c r="A153" s="88">
        <v>147</v>
      </c>
      <c r="B153" s="99" t="s">
        <v>312</v>
      </c>
      <c r="C153" s="11" t="s">
        <v>1128</v>
      </c>
      <c r="D153" s="89"/>
      <c r="E153" s="43"/>
      <c r="F153" s="43"/>
      <c r="G153" s="43"/>
      <c r="H153" s="43"/>
      <c r="I153" s="43"/>
      <c r="J153" s="43"/>
      <c r="K153" s="43"/>
      <c r="L153" s="94">
        <f t="shared" si="0"/>
        <v>0</v>
      </c>
      <c r="M153" s="96">
        <f t="shared" si="1"/>
        <v>0</v>
      </c>
      <c r="N153" s="96">
        <f t="shared" si="2"/>
        <v>0</v>
      </c>
      <c r="O153" s="35"/>
      <c r="P153" s="35"/>
      <c r="Q153" s="35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5" customHeight="1" x14ac:dyDescent="0.35">
      <c r="A154" s="88">
        <v>148</v>
      </c>
      <c r="B154" s="99" t="s">
        <v>682</v>
      </c>
      <c r="C154" s="101" t="s">
        <v>1132</v>
      </c>
      <c r="D154" s="89"/>
      <c r="E154" s="43"/>
      <c r="F154" s="43"/>
      <c r="G154" s="43"/>
      <c r="H154" s="43"/>
      <c r="I154" s="43"/>
      <c r="J154" s="43"/>
      <c r="K154" s="43"/>
      <c r="L154" s="94">
        <f t="shared" si="0"/>
        <v>0</v>
      </c>
      <c r="M154" s="96">
        <f t="shared" si="1"/>
        <v>0</v>
      </c>
      <c r="N154" s="96">
        <f t="shared" si="2"/>
        <v>0</v>
      </c>
      <c r="O154" s="35"/>
      <c r="P154" s="35"/>
      <c r="Q154" s="35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5" customHeight="1" x14ac:dyDescent="0.35">
      <c r="A155" s="88">
        <v>149</v>
      </c>
      <c r="B155" s="11" t="s">
        <v>367</v>
      </c>
      <c r="C155" s="11" t="s">
        <v>1136</v>
      </c>
      <c r="D155" s="89"/>
      <c r="E155" s="43"/>
      <c r="F155" s="43"/>
      <c r="G155" s="43"/>
      <c r="H155" s="43"/>
      <c r="I155" s="43"/>
      <c r="J155" s="43"/>
      <c r="K155" s="43"/>
      <c r="L155" s="94">
        <f t="shared" si="0"/>
        <v>0</v>
      </c>
      <c r="M155" s="96">
        <f t="shared" si="1"/>
        <v>0</v>
      </c>
      <c r="N155" s="96">
        <f t="shared" si="2"/>
        <v>0</v>
      </c>
      <c r="O155" s="35"/>
      <c r="P155" s="35"/>
      <c r="Q155" s="35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5" customHeight="1" x14ac:dyDescent="0.35">
      <c r="A156" s="88">
        <v>150</v>
      </c>
      <c r="B156" s="11" t="s">
        <v>1215</v>
      </c>
      <c r="C156" s="11" t="s">
        <v>1216</v>
      </c>
      <c r="D156" s="89"/>
      <c r="E156" s="43"/>
      <c r="F156" s="43"/>
      <c r="G156" s="43"/>
      <c r="H156" s="43"/>
      <c r="I156" s="43"/>
      <c r="J156" s="43"/>
      <c r="K156" s="43"/>
      <c r="L156" s="94">
        <f t="shared" si="0"/>
        <v>0</v>
      </c>
      <c r="M156" s="96">
        <f t="shared" si="1"/>
        <v>0</v>
      </c>
      <c r="N156" s="96">
        <f t="shared" si="2"/>
        <v>0</v>
      </c>
      <c r="O156" s="35"/>
      <c r="P156" s="35"/>
      <c r="Q156" s="35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5" customHeight="1" x14ac:dyDescent="0.35">
      <c r="A157" s="88">
        <v>151</v>
      </c>
      <c r="B157" s="99" t="s">
        <v>377</v>
      </c>
      <c r="C157" s="101" t="s">
        <v>113</v>
      </c>
      <c r="D157" s="89"/>
      <c r="E157" s="43"/>
      <c r="F157" s="43"/>
      <c r="G157" s="43"/>
      <c r="H157" s="43"/>
      <c r="I157" s="43"/>
      <c r="J157" s="43"/>
      <c r="K157" s="43"/>
      <c r="L157" s="94">
        <f t="shared" si="0"/>
        <v>0</v>
      </c>
      <c r="M157" s="96">
        <f t="shared" si="1"/>
        <v>0</v>
      </c>
      <c r="N157" s="96">
        <f t="shared" si="2"/>
        <v>0</v>
      </c>
      <c r="O157" s="35"/>
      <c r="P157" s="35"/>
      <c r="Q157" s="35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5" customHeight="1" x14ac:dyDescent="0.35">
      <c r="A158" s="88">
        <v>152</v>
      </c>
      <c r="B158" s="138" t="s">
        <v>125</v>
      </c>
      <c r="C158" s="11" t="s">
        <v>1166</v>
      </c>
      <c r="D158" s="89"/>
      <c r="E158" s="120"/>
      <c r="F158" s="90"/>
      <c r="G158" s="90"/>
      <c r="H158" s="90"/>
      <c r="I158" s="90"/>
      <c r="J158" s="90"/>
      <c r="K158" s="90"/>
      <c r="L158" s="94">
        <f t="shared" si="0"/>
        <v>0</v>
      </c>
      <c r="M158" s="96">
        <f t="shared" si="1"/>
        <v>0</v>
      </c>
      <c r="N158" s="96">
        <f t="shared" si="2"/>
        <v>0</v>
      </c>
      <c r="O158" s="35"/>
      <c r="P158" s="35"/>
      <c r="Q158" s="35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5" customHeight="1" x14ac:dyDescent="0.35">
      <c r="A159" s="88">
        <v>153</v>
      </c>
      <c r="B159" s="11" t="s">
        <v>307</v>
      </c>
      <c r="C159" s="11" t="s">
        <v>1170</v>
      </c>
      <c r="D159" s="89"/>
      <c r="E159" s="43"/>
      <c r="F159" s="43"/>
      <c r="G159" s="43"/>
      <c r="H159" s="43"/>
      <c r="I159" s="43"/>
      <c r="J159" s="43"/>
      <c r="K159" s="43"/>
      <c r="L159" s="94">
        <f t="shared" si="0"/>
        <v>0</v>
      </c>
      <c r="M159" s="96">
        <f t="shared" si="1"/>
        <v>0</v>
      </c>
      <c r="N159" s="96">
        <f t="shared" si="2"/>
        <v>0</v>
      </c>
      <c r="O159" s="35"/>
      <c r="P159" s="35"/>
      <c r="Q159" s="35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5" customHeight="1" x14ac:dyDescent="0.35">
      <c r="A160" s="88">
        <v>154</v>
      </c>
      <c r="B160" s="99" t="s">
        <v>1250</v>
      </c>
      <c r="C160" s="11" t="s">
        <v>1253</v>
      </c>
      <c r="D160" s="89"/>
      <c r="E160" s="43"/>
      <c r="F160" s="43"/>
      <c r="G160" s="43"/>
      <c r="H160" s="43"/>
      <c r="I160" s="43"/>
      <c r="J160" s="43"/>
      <c r="K160" s="43"/>
      <c r="L160" s="94">
        <f t="shared" si="0"/>
        <v>0</v>
      </c>
      <c r="M160" s="96">
        <f t="shared" si="1"/>
        <v>0</v>
      </c>
      <c r="N160" s="96">
        <f t="shared" si="2"/>
        <v>0</v>
      </c>
      <c r="O160" s="35"/>
      <c r="P160" s="35"/>
      <c r="Q160" s="35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5" customHeight="1" x14ac:dyDescent="0.35">
      <c r="A161" s="88">
        <v>155</v>
      </c>
      <c r="B161" s="11" t="s">
        <v>1181</v>
      </c>
      <c r="C161" s="11" t="s">
        <v>140</v>
      </c>
      <c r="D161" s="89"/>
      <c r="E161" s="174"/>
      <c r="F161" s="174"/>
      <c r="G161" s="174"/>
      <c r="H161" s="174"/>
      <c r="I161" s="174"/>
      <c r="J161" s="174"/>
      <c r="K161" s="174"/>
      <c r="L161" s="94">
        <f t="shared" si="0"/>
        <v>0</v>
      </c>
      <c r="M161" s="96">
        <f t="shared" si="1"/>
        <v>0</v>
      </c>
      <c r="N161" s="96">
        <f t="shared" si="2"/>
        <v>0</v>
      </c>
      <c r="O161" s="35"/>
      <c r="P161" s="35"/>
      <c r="Q161" s="35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5" customHeight="1" x14ac:dyDescent="0.35">
      <c r="A162" s="88">
        <v>156</v>
      </c>
      <c r="B162" s="99" t="s">
        <v>1183</v>
      </c>
      <c r="C162" s="101" t="s">
        <v>1184</v>
      </c>
      <c r="D162" s="89"/>
      <c r="E162" s="43"/>
      <c r="F162" s="43"/>
      <c r="G162" s="43"/>
      <c r="H162" s="43"/>
      <c r="I162" s="43"/>
      <c r="J162" s="43"/>
      <c r="K162" s="43"/>
      <c r="L162" s="94">
        <f t="shared" si="0"/>
        <v>0</v>
      </c>
      <c r="M162" s="96">
        <f t="shared" si="1"/>
        <v>0</v>
      </c>
      <c r="N162" s="96">
        <f t="shared" si="2"/>
        <v>0</v>
      </c>
      <c r="O162" s="35"/>
      <c r="P162" s="35"/>
      <c r="Q162" s="35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5" customHeight="1" x14ac:dyDescent="0.35">
      <c r="A163" s="88">
        <v>157</v>
      </c>
      <c r="B163" s="11" t="s">
        <v>440</v>
      </c>
      <c r="C163" s="11" t="s">
        <v>113</v>
      </c>
      <c r="D163" s="89"/>
      <c r="E163" s="43"/>
      <c r="F163" s="43"/>
      <c r="G163" s="43"/>
      <c r="H163" s="43"/>
      <c r="I163" s="43"/>
      <c r="J163" s="43"/>
      <c r="K163" s="43"/>
      <c r="L163" s="94">
        <f t="shared" si="0"/>
        <v>0</v>
      </c>
      <c r="M163" s="96">
        <f t="shared" si="1"/>
        <v>0</v>
      </c>
      <c r="N163" s="96">
        <f t="shared" si="2"/>
        <v>0</v>
      </c>
      <c r="O163" s="35"/>
      <c r="P163" s="35"/>
      <c r="Q163" s="35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5" customHeight="1" x14ac:dyDescent="0.35">
      <c r="A164" s="88">
        <v>158</v>
      </c>
      <c r="B164" s="99" t="s">
        <v>1192</v>
      </c>
      <c r="C164" s="101" t="s">
        <v>140</v>
      </c>
      <c r="D164" s="89"/>
      <c r="E164" s="43"/>
      <c r="F164" s="43"/>
      <c r="G164" s="43"/>
      <c r="H164" s="43"/>
      <c r="I164" s="43"/>
      <c r="J164" s="43"/>
      <c r="K164" s="43"/>
      <c r="L164" s="94">
        <f t="shared" si="0"/>
        <v>0</v>
      </c>
      <c r="M164" s="96">
        <f t="shared" si="1"/>
        <v>0</v>
      </c>
      <c r="N164" s="96">
        <f t="shared" si="2"/>
        <v>0</v>
      </c>
      <c r="O164" s="35"/>
      <c r="P164" s="35"/>
      <c r="Q164" s="35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5" customHeight="1" x14ac:dyDescent="0.35">
      <c r="A165" s="88">
        <v>159</v>
      </c>
      <c r="B165" s="11" t="s">
        <v>1195</v>
      </c>
      <c r="C165" s="11" t="s">
        <v>140</v>
      </c>
      <c r="D165" s="89"/>
      <c r="E165" s="43"/>
      <c r="F165" s="43"/>
      <c r="G165" s="43"/>
      <c r="H165" s="43"/>
      <c r="I165" s="43"/>
      <c r="J165" s="43"/>
      <c r="K165" s="43"/>
      <c r="L165" s="94">
        <f t="shared" si="0"/>
        <v>0</v>
      </c>
      <c r="M165" s="96">
        <f t="shared" si="1"/>
        <v>0</v>
      </c>
      <c r="N165" s="96">
        <f t="shared" si="2"/>
        <v>0</v>
      </c>
      <c r="O165" s="35"/>
      <c r="P165" s="35"/>
      <c r="Q165" s="35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5" customHeight="1" x14ac:dyDescent="0.35">
      <c r="A166" s="88">
        <v>160</v>
      </c>
      <c r="B166" s="99" t="s">
        <v>67</v>
      </c>
      <c r="C166" s="11" t="s">
        <v>889</v>
      </c>
      <c r="D166" s="89"/>
      <c r="E166" s="14"/>
      <c r="F166" s="43"/>
      <c r="G166" s="43"/>
      <c r="H166" s="43"/>
      <c r="I166" s="43"/>
      <c r="J166" s="43"/>
      <c r="K166" s="43"/>
      <c r="L166" s="94">
        <f t="shared" si="0"/>
        <v>0</v>
      </c>
      <c r="M166" s="96">
        <f t="shared" si="1"/>
        <v>0</v>
      </c>
      <c r="N166" s="96">
        <f t="shared" si="2"/>
        <v>0</v>
      </c>
      <c r="O166" s="35"/>
      <c r="P166" s="35"/>
      <c r="Q166" s="35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5" customHeight="1" x14ac:dyDescent="0.35">
      <c r="A167" s="88">
        <v>161</v>
      </c>
      <c r="B167" s="11" t="s">
        <v>544</v>
      </c>
      <c r="C167" s="11" t="s">
        <v>1059</v>
      </c>
      <c r="D167" s="89"/>
      <c r="E167" s="43"/>
      <c r="F167" s="43"/>
      <c r="G167" s="43"/>
      <c r="H167" s="43"/>
      <c r="I167" s="43"/>
      <c r="J167" s="43"/>
      <c r="K167" s="43"/>
      <c r="L167" s="94">
        <f t="shared" si="0"/>
        <v>0</v>
      </c>
      <c r="M167" s="96">
        <f t="shared" si="1"/>
        <v>0</v>
      </c>
      <c r="N167" s="96">
        <f t="shared" si="2"/>
        <v>0</v>
      </c>
      <c r="O167" s="35"/>
      <c r="P167" s="35"/>
      <c r="Q167" s="35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5" customHeight="1" x14ac:dyDescent="0.35">
      <c r="A168" s="88">
        <v>162</v>
      </c>
      <c r="B168" s="11" t="s">
        <v>421</v>
      </c>
      <c r="C168" s="11" t="s">
        <v>113</v>
      </c>
      <c r="D168" s="89"/>
      <c r="E168" s="43"/>
      <c r="F168" s="43"/>
      <c r="G168" s="43"/>
      <c r="H168" s="43"/>
      <c r="I168" s="43"/>
      <c r="J168" s="43"/>
      <c r="K168" s="43"/>
      <c r="L168" s="94">
        <f t="shared" si="0"/>
        <v>0</v>
      </c>
      <c r="M168" s="96">
        <f t="shared" si="1"/>
        <v>0</v>
      </c>
      <c r="N168" s="96">
        <f t="shared" si="2"/>
        <v>0</v>
      </c>
      <c r="O168" s="35"/>
      <c r="P168" s="35"/>
      <c r="Q168" s="35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5" customHeight="1" x14ac:dyDescent="0.35">
      <c r="A169" s="88">
        <v>163</v>
      </c>
      <c r="B169" s="11" t="s">
        <v>531</v>
      </c>
      <c r="C169" s="11" t="s">
        <v>1220</v>
      </c>
      <c r="D169" s="89"/>
      <c r="E169" s="43"/>
      <c r="F169" s="43"/>
      <c r="G169" s="43"/>
      <c r="H169" s="43"/>
      <c r="I169" s="43"/>
      <c r="J169" s="43"/>
      <c r="K169" s="43"/>
      <c r="L169" s="94">
        <f t="shared" si="0"/>
        <v>0</v>
      </c>
      <c r="M169" s="96">
        <f t="shared" si="1"/>
        <v>0</v>
      </c>
      <c r="N169" s="96">
        <f t="shared" si="2"/>
        <v>0</v>
      </c>
      <c r="O169" s="35"/>
      <c r="P169" s="35"/>
      <c r="Q169" s="35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5" customHeight="1" x14ac:dyDescent="0.35">
      <c r="A170" s="88">
        <v>164</v>
      </c>
      <c r="B170" s="99" t="s">
        <v>1226</v>
      </c>
      <c r="C170" s="101" t="s">
        <v>1227</v>
      </c>
      <c r="D170" s="89"/>
      <c r="E170" s="43"/>
      <c r="F170" s="43"/>
      <c r="G170" s="43"/>
      <c r="H170" s="43"/>
      <c r="I170" s="43"/>
      <c r="J170" s="43"/>
      <c r="K170" s="43"/>
      <c r="L170" s="94">
        <f t="shared" si="0"/>
        <v>0</v>
      </c>
      <c r="M170" s="96">
        <f t="shared" si="1"/>
        <v>0</v>
      </c>
      <c r="N170" s="96">
        <f t="shared" si="2"/>
        <v>0</v>
      </c>
      <c r="O170" s="35"/>
      <c r="P170" s="35"/>
      <c r="Q170" s="35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5" customHeight="1" x14ac:dyDescent="0.35">
      <c r="A171" s="88">
        <v>165</v>
      </c>
      <c r="B171" s="11" t="s">
        <v>182</v>
      </c>
      <c r="C171" s="11" t="s">
        <v>164</v>
      </c>
      <c r="D171" s="89"/>
      <c r="E171" s="43"/>
      <c r="F171" s="43"/>
      <c r="G171" s="43"/>
      <c r="H171" s="43"/>
      <c r="I171" s="43"/>
      <c r="J171" s="43"/>
      <c r="K171" s="43"/>
      <c r="L171" s="94">
        <f t="shared" si="0"/>
        <v>0</v>
      </c>
      <c r="M171" s="96">
        <f t="shared" si="1"/>
        <v>0</v>
      </c>
      <c r="N171" s="96">
        <f t="shared" si="2"/>
        <v>0</v>
      </c>
      <c r="O171" s="35"/>
      <c r="P171" s="35"/>
      <c r="Q171" s="35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5" customHeight="1" x14ac:dyDescent="0.35">
      <c r="A172" s="88">
        <v>166</v>
      </c>
      <c r="B172" s="138" t="s">
        <v>643</v>
      </c>
      <c r="C172" s="11" t="s">
        <v>1242</v>
      </c>
      <c r="D172" s="89"/>
      <c r="E172" s="14"/>
      <c r="F172" s="43"/>
      <c r="G172" s="43"/>
      <c r="H172" s="43"/>
      <c r="I172" s="43"/>
      <c r="J172" s="43"/>
      <c r="K172" s="43"/>
      <c r="L172" s="94">
        <f t="shared" si="0"/>
        <v>0</v>
      </c>
      <c r="M172" s="96">
        <f t="shared" si="1"/>
        <v>0</v>
      </c>
      <c r="N172" s="96">
        <f t="shared" si="2"/>
        <v>0</v>
      </c>
      <c r="O172" s="35"/>
      <c r="P172" s="35"/>
      <c r="Q172" s="35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5" customHeight="1" x14ac:dyDescent="0.35">
      <c r="A173" s="88">
        <v>167</v>
      </c>
      <c r="B173" s="99" t="s">
        <v>723</v>
      </c>
      <c r="C173" s="101" t="s">
        <v>245</v>
      </c>
      <c r="D173" s="89"/>
      <c r="E173" s="43"/>
      <c r="F173" s="43"/>
      <c r="G173" s="43"/>
      <c r="H173" s="43"/>
      <c r="I173" s="43"/>
      <c r="J173" s="43"/>
      <c r="K173" s="43"/>
      <c r="L173" s="94">
        <f t="shared" si="0"/>
        <v>0</v>
      </c>
      <c r="M173" s="96">
        <f t="shared" si="1"/>
        <v>0</v>
      </c>
      <c r="N173" s="96">
        <f t="shared" si="2"/>
        <v>0</v>
      </c>
      <c r="O173" s="35"/>
      <c r="P173" s="35"/>
      <c r="Q173" s="35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5" customHeight="1" x14ac:dyDescent="0.35">
      <c r="A174" s="88">
        <v>168</v>
      </c>
      <c r="B174" s="99" t="s">
        <v>1252</v>
      </c>
      <c r="C174" s="11" t="s">
        <v>1254</v>
      </c>
      <c r="D174" s="89"/>
      <c r="E174" s="14"/>
      <c r="F174" s="43"/>
      <c r="G174" s="43"/>
      <c r="H174" s="43"/>
      <c r="I174" s="43"/>
      <c r="J174" s="43"/>
      <c r="K174" s="43"/>
      <c r="L174" s="94">
        <f t="shared" si="0"/>
        <v>0</v>
      </c>
      <c r="M174" s="96">
        <f t="shared" si="1"/>
        <v>0</v>
      </c>
      <c r="N174" s="96">
        <f t="shared" si="2"/>
        <v>0</v>
      </c>
      <c r="O174" s="35"/>
      <c r="P174" s="35"/>
      <c r="Q174" s="35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5" customHeight="1" x14ac:dyDescent="0.35">
      <c r="A175" s="88">
        <v>169</v>
      </c>
      <c r="B175" s="11" t="s">
        <v>748</v>
      </c>
      <c r="C175" s="11" t="s">
        <v>1266</v>
      </c>
      <c r="D175" s="89"/>
      <c r="E175" s="90"/>
      <c r="F175" s="90"/>
      <c r="G175" s="90"/>
      <c r="H175" s="90"/>
      <c r="I175" s="90"/>
      <c r="J175" s="90"/>
      <c r="K175" s="90"/>
      <c r="L175" s="94">
        <f t="shared" si="0"/>
        <v>0</v>
      </c>
      <c r="M175" s="96">
        <f t="shared" si="1"/>
        <v>0</v>
      </c>
      <c r="N175" s="96">
        <f t="shared" si="2"/>
        <v>0</v>
      </c>
      <c r="O175" s="35"/>
      <c r="P175" s="35"/>
      <c r="Q175" s="35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5" customHeight="1" x14ac:dyDescent="0.35">
      <c r="A176" s="88">
        <v>170</v>
      </c>
      <c r="B176" s="333"/>
      <c r="C176" s="333"/>
      <c r="D176" s="333"/>
      <c r="E176" s="334"/>
      <c r="F176" s="43"/>
      <c r="G176" s="43"/>
      <c r="H176" s="43"/>
      <c r="I176" s="43"/>
      <c r="J176" s="43"/>
      <c r="K176" s="43"/>
      <c r="L176" s="94">
        <f t="shared" si="0"/>
        <v>0</v>
      </c>
      <c r="M176" s="96">
        <f t="shared" si="1"/>
        <v>0</v>
      </c>
      <c r="N176" s="96">
        <f t="shared" si="2"/>
        <v>0</v>
      </c>
      <c r="O176" s="35"/>
      <c r="P176" s="35"/>
      <c r="Q176" s="35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5" customHeight="1" x14ac:dyDescent="0.35">
      <c r="A177" s="88">
        <v>171</v>
      </c>
      <c r="B177" s="99"/>
      <c r="C177" s="101"/>
      <c r="D177" s="89"/>
      <c r="E177" s="43"/>
      <c r="F177" s="43"/>
      <c r="G177" s="43"/>
      <c r="H177" s="43"/>
      <c r="I177" s="43"/>
      <c r="J177" s="43"/>
      <c r="K177" s="43"/>
      <c r="L177" s="94">
        <f t="shared" si="0"/>
        <v>0</v>
      </c>
      <c r="M177" s="96">
        <f t="shared" si="1"/>
        <v>0</v>
      </c>
      <c r="N177" s="96">
        <f t="shared" si="2"/>
        <v>0</v>
      </c>
      <c r="O177" s="35"/>
      <c r="P177" s="35"/>
      <c r="Q177" s="35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5" customHeight="1" x14ac:dyDescent="0.35">
      <c r="A178" s="88">
        <v>172</v>
      </c>
      <c r="B178" s="9" t="s">
        <v>1280</v>
      </c>
      <c r="C178" s="11"/>
      <c r="D178" s="89"/>
      <c r="E178" s="43"/>
      <c r="F178" s="137"/>
      <c r="G178" s="137"/>
      <c r="H178" s="137"/>
      <c r="I178" s="137"/>
      <c r="J178" s="137"/>
      <c r="K178" s="43"/>
      <c r="L178" s="94">
        <f t="shared" si="0"/>
        <v>0</v>
      </c>
      <c r="M178" s="96">
        <f t="shared" si="1"/>
        <v>0</v>
      </c>
      <c r="N178" s="96">
        <f t="shared" si="2"/>
        <v>0</v>
      </c>
      <c r="O178" s="35"/>
      <c r="P178" s="35"/>
      <c r="Q178" s="35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5.75" customHeight="1" x14ac:dyDescent="0.35">
      <c r="A179" s="88">
        <v>173</v>
      </c>
      <c r="B179" s="99" t="s">
        <v>1304</v>
      </c>
      <c r="C179" s="129" t="s">
        <v>1294</v>
      </c>
      <c r="D179" s="89"/>
      <c r="E179" s="267"/>
      <c r="F179" s="43"/>
      <c r="G179" s="137"/>
      <c r="H179" s="137"/>
      <c r="I179" s="137"/>
      <c r="J179" s="137"/>
      <c r="K179" s="43"/>
      <c r="L179" s="94">
        <f t="shared" si="0"/>
        <v>0</v>
      </c>
      <c r="M179" s="96">
        <f t="shared" si="1"/>
        <v>0</v>
      </c>
      <c r="N179" s="96">
        <f t="shared" si="2"/>
        <v>0</v>
      </c>
      <c r="O179" s="35"/>
      <c r="P179" s="35"/>
      <c r="Q179" s="35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5" customHeight="1" x14ac:dyDescent="0.35">
      <c r="A180" s="88">
        <v>174</v>
      </c>
      <c r="B180" s="11" t="s">
        <v>433</v>
      </c>
      <c r="C180" s="11"/>
      <c r="D180" s="89"/>
      <c r="E180" s="43"/>
      <c r="F180" s="43"/>
      <c r="G180" s="137"/>
      <c r="H180" s="137"/>
      <c r="I180" s="137"/>
      <c r="J180" s="137"/>
      <c r="K180" s="43"/>
      <c r="L180" s="94">
        <f t="shared" si="0"/>
        <v>0</v>
      </c>
      <c r="M180" s="96">
        <f t="shared" si="1"/>
        <v>0</v>
      </c>
      <c r="N180" s="96">
        <f t="shared" si="2"/>
        <v>0</v>
      </c>
      <c r="O180" s="35"/>
      <c r="P180" s="35"/>
      <c r="Q180" s="35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5" customHeight="1" x14ac:dyDescent="0.35">
      <c r="A181" s="88">
        <v>175</v>
      </c>
      <c r="B181" s="99" t="s">
        <v>1290</v>
      </c>
      <c r="C181" s="129" t="s">
        <v>567</v>
      </c>
      <c r="D181" s="89"/>
      <c r="E181" s="137"/>
      <c r="F181" s="43"/>
      <c r="G181" s="43"/>
      <c r="H181" s="137"/>
      <c r="I181" s="137"/>
      <c r="J181" s="137"/>
      <c r="K181" s="43"/>
      <c r="L181" s="94">
        <f t="shared" si="0"/>
        <v>0</v>
      </c>
      <c r="M181" s="96">
        <f t="shared" si="1"/>
        <v>0</v>
      </c>
      <c r="N181" s="96">
        <f t="shared" si="2"/>
        <v>0</v>
      </c>
      <c r="O181" s="35"/>
      <c r="P181" s="35"/>
      <c r="Q181" s="35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5" customHeight="1" x14ac:dyDescent="0.35">
      <c r="A182" s="88">
        <v>176</v>
      </c>
      <c r="B182" s="99" t="s">
        <v>55</v>
      </c>
      <c r="C182" s="129" t="s">
        <v>567</v>
      </c>
      <c r="D182" s="89"/>
      <c r="E182" s="137"/>
      <c r="F182" s="43"/>
      <c r="G182" s="43"/>
      <c r="H182" s="43"/>
      <c r="I182" s="43"/>
      <c r="J182" s="43"/>
      <c r="K182" s="43"/>
      <c r="L182" s="94">
        <f t="shared" si="0"/>
        <v>0</v>
      </c>
      <c r="M182" s="96">
        <f t="shared" si="1"/>
        <v>0</v>
      </c>
      <c r="N182" s="96">
        <f t="shared" si="2"/>
        <v>0</v>
      </c>
      <c r="O182" s="35"/>
      <c r="P182" s="35"/>
      <c r="Q182" s="35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4.25" customHeight="1" x14ac:dyDescent="0.35">
      <c r="A183" s="88">
        <v>177</v>
      </c>
      <c r="B183" s="11" t="s">
        <v>1293</v>
      </c>
      <c r="C183" s="11" t="s">
        <v>1294</v>
      </c>
      <c r="D183" s="89"/>
      <c r="E183" s="90"/>
      <c r="F183" s="211"/>
      <c r="G183" s="211"/>
      <c r="H183" s="211"/>
      <c r="I183" s="211"/>
      <c r="J183" s="211"/>
      <c r="K183" s="140"/>
      <c r="L183" s="94">
        <f t="shared" si="0"/>
        <v>0</v>
      </c>
      <c r="M183" s="96">
        <f t="shared" si="1"/>
        <v>0</v>
      </c>
      <c r="N183" s="96">
        <f t="shared" si="2"/>
        <v>0</v>
      </c>
      <c r="O183" s="35"/>
      <c r="P183" s="35"/>
      <c r="Q183" s="35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3.5" customHeight="1" x14ac:dyDescent="0.35">
      <c r="A184" s="88">
        <v>178</v>
      </c>
      <c r="B184" s="11" t="s">
        <v>1296</v>
      </c>
      <c r="C184" s="11" t="s">
        <v>1294</v>
      </c>
      <c r="D184" s="89"/>
      <c r="E184" s="43"/>
      <c r="F184" s="43"/>
      <c r="G184" s="43"/>
      <c r="H184" s="43"/>
      <c r="I184" s="43"/>
      <c r="J184" s="43"/>
      <c r="K184" s="43"/>
      <c r="L184" s="94">
        <f t="shared" si="0"/>
        <v>0</v>
      </c>
      <c r="M184" s="96">
        <f t="shared" si="1"/>
        <v>0</v>
      </c>
      <c r="N184" s="96">
        <f t="shared" si="2"/>
        <v>0</v>
      </c>
      <c r="O184" s="35"/>
      <c r="P184" s="35"/>
      <c r="Q184" s="35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4.25" customHeight="1" x14ac:dyDescent="0.35">
      <c r="A185" s="88">
        <v>179</v>
      </c>
      <c r="B185" s="11" t="s">
        <v>278</v>
      </c>
      <c r="C185" s="11" t="s">
        <v>245</v>
      </c>
      <c r="D185" s="89"/>
      <c r="E185" s="43"/>
      <c r="F185" s="43"/>
      <c r="G185" s="43"/>
      <c r="H185" s="43"/>
      <c r="I185" s="43"/>
      <c r="J185" s="43"/>
      <c r="K185" s="43"/>
      <c r="L185" s="94">
        <f t="shared" si="0"/>
        <v>0</v>
      </c>
      <c r="M185" s="96">
        <f t="shared" si="1"/>
        <v>0</v>
      </c>
      <c r="N185" s="96">
        <f t="shared" si="2"/>
        <v>0</v>
      </c>
      <c r="O185" s="35"/>
      <c r="P185" s="35"/>
      <c r="Q185" s="35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5" customHeight="1" x14ac:dyDescent="0.35">
      <c r="A186" s="88">
        <v>180</v>
      </c>
      <c r="B186" s="11" t="s">
        <v>249</v>
      </c>
      <c r="C186" s="11"/>
      <c r="D186" s="89"/>
      <c r="E186" s="43"/>
      <c r="F186" s="43"/>
      <c r="G186" s="43"/>
      <c r="H186" s="43"/>
      <c r="I186" s="43"/>
      <c r="J186" s="43"/>
      <c r="K186" s="43"/>
      <c r="L186" s="94">
        <f t="shared" si="0"/>
        <v>0</v>
      </c>
      <c r="M186" s="96">
        <f t="shared" si="1"/>
        <v>0</v>
      </c>
      <c r="N186" s="96">
        <f t="shared" si="2"/>
        <v>0</v>
      </c>
      <c r="O186" s="35"/>
      <c r="P186" s="35"/>
      <c r="Q186" s="35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5" customHeight="1" x14ac:dyDescent="0.35">
      <c r="A187" s="88">
        <v>181</v>
      </c>
      <c r="B187" s="11" t="s">
        <v>1301</v>
      </c>
      <c r="C187" s="11"/>
      <c r="D187" s="89"/>
      <c r="E187" s="43"/>
      <c r="F187" s="43"/>
      <c r="G187" s="137"/>
      <c r="H187" s="137"/>
      <c r="I187" s="137"/>
      <c r="J187" s="137"/>
      <c r="K187" s="43"/>
      <c r="L187" s="94">
        <f t="shared" si="0"/>
        <v>0</v>
      </c>
      <c r="M187" s="96">
        <f t="shared" si="1"/>
        <v>0</v>
      </c>
      <c r="N187" s="96">
        <f t="shared" si="2"/>
        <v>0</v>
      </c>
      <c r="O187" s="35"/>
      <c r="P187" s="35"/>
      <c r="Q187" s="35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3.5" customHeight="1" x14ac:dyDescent="0.35">
      <c r="A188" s="88">
        <v>182</v>
      </c>
      <c r="B188" s="11" t="s">
        <v>300</v>
      </c>
      <c r="C188" s="11"/>
      <c r="D188" s="89"/>
      <c r="E188" s="43"/>
      <c r="F188" s="43"/>
      <c r="G188" s="43"/>
      <c r="H188" s="43"/>
      <c r="I188" s="137"/>
      <c r="J188" s="137"/>
      <c r="K188" s="43"/>
      <c r="L188" s="94">
        <f t="shared" si="0"/>
        <v>0</v>
      </c>
      <c r="M188" s="96">
        <f t="shared" si="1"/>
        <v>0</v>
      </c>
      <c r="N188" s="96">
        <f t="shared" si="2"/>
        <v>0</v>
      </c>
      <c r="O188" s="35"/>
      <c r="P188" s="35"/>
      <c r="Q188" s="35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5" customHeight="1" x14ac:dyDescent="0.35">
      <c r="A189" s="88">
        <v>183</v>
      </c>
      <c r="B189" s="99" t="s">
        <v>373</v>
      </c>
      <c r="C189" s="11" t="s">
        <v>1306</v>
      </c>
      <c r="D189" s="89"/>
      <c r="E189" s="137"/>
      <c r="F189" s="267"/>
      <c r="G189" s="137"/>
      <c r="H189" s="137"/>
      <c r="I189" s="137"/>
      <c r="J189" s="137"/>
      <c r="K189" s="267"/>
      <c r="L189" s="94">
        <f t="shared" si="0"/>
        <v>0</v>
      </c>
      <c r="M189" s="96">
        <f t="shared" si="1"/>
        <v>0</v>
      </c>
      <c r="N189" s="96">
        <f t="shared" si="2"/>
        <v>0</v>
      </c>
      <c r="O189" s="35"/>
      <c r="P189" s="35"/>
      <c r="Q189" s="35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5" customHeight="1" x14ac:dyDescent="0.35">
      <c r="A190" s="88">
        <v>184</v>
      </c>
      <c r="B190" s="99" t="s">
        <v>734</v>
      </c>
      <c r="C190" s="129" t="s">
        <v>1326</v>
      </c>
      <c r="D190" s="89"/>
      <c r="E190" s="267"/>
      <c r="F190" s="267"/>
      <c r="G190" s="137"/>
      <c r="H190" s="137"/>
      <c r="I190" s="137"/>
      <c r="J190" s="137"/>
      <c r="K190" s="267"/>
      <c r="L190" s="94">
        <f t="shared" si="0"/>
        <v>0</v>
      </c>
      <c r="M190" s="96">
        <f t="shared" si="1"/>
        <v>0</v>
      </c>
      <c r="N190" s="96">
        <f t="shared" si="2"/>
        <v>0</v>
      </c>
      <c r="O190" s="35"/>
      <c r="P190" s="35"/>
      <c r="Q190" s="35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5" customHeight="1" x14ac:dyDescent="0.35">
      <c r="A191" s="88">
        <v>185</v>
      </c>
      <c r="B191" s="99" t="s">
        <v>1309</v>
      </c>
      <c r="C191" s="11" t="s">
        <v>140</v>
      </c>
      <c r="D191" s="89"/>
      <c r="E191" s="90"/>
      <c r="F191" s="131"/>
      <c r="G191" s="211"/>
      <c r="H191" s="211"/>
      <c r="I191" s="211"/>
      <c r="J191" s="211"/>
      <c r="K191" s="131"/>
      <c r="L191" s="94">
        <f t="shared" si="0"/>
        <v>0</v>
      </c>
      <c r="M191" s="96">
        <f t="shared" si="1"/>
        <v>0</v>
      </c>
      <c r="N191" s="96">
        <f t="shared" si="2"/>
        <v>0</v>
      </c>
      <c r="O191" s="35"/>
      <c r="P191" s="35"/>
      <c r="Q191" s="35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5" customHeight="1" x14ac:dyDescent="0.35">
      <c r="A192" s="88">
        <v>186</v>
      </c>
      <c r="B192" s="99" t="s">
        <v>1311</v>
      </c>
      <c r="C192" s="129" t="s">
        <v>567</v>
      </c>
      <c r="D192" s="89"/>
      <c r="E192" s="43"/>
      <c r="F192" s="267"/>
      <c r="G192" s="43"/>
      <c r="H192" s="137"/>
      <c r="I192" s="137"/>
      <c r="J192" s="137"/>
      <c r="K192" s="267"/>
      <c r="L192" s="94">
        <f t="shared" si="0"/>
        <v>0</v>
      </c>
      <c r="M192" s="96">
        <f t="shared" si="1"/>
        <v>0</v>
      </c>
      <c r="N192" s="96">
        <f t="shared" si="2"/>
        <v>0</v>
      </c>
      <c r="O192" s="35"/>
      <c r="P192" s="35"/>
      <c r="Q192" s="35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5" customHeight="1" x14ac:dyDescent="0.35">
      <c r="A193" s="88">
        <v>187</v>
      </c>
      <c r="B193" s="11" t="s">
        <v>1336</v>
      </c>
      <c r="C193" s="11"/>
      <c r="D193" s="89"/>
      <c r="E193" s="43"/>
      <c r="F193" s="43"/>
      <c r="G193" s="43"/>
      <c r="H193" s="43"/>
      <c r="I193" s="43"/>
      <c r="J193" s="43"/>
      <c r="K193" s="43"/>
      <c r="L193" s="94">
        <f t="shared" si="0"/>
        <v>0</v>
      </c>
      <c r="M193" s="96">
        <f t="shared" si="1"/>
        <v>0</v>
      </c>
      <c r="N193" s="96">
        <f t="shared" si="2"/>
        <v>0</v>
      </c>
      <c r="O193" s="35"/>
      <c r="P193" s="35"/>
      <c r="Q193" s="35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5" customHeight="1" x14ac:dyDescent="0.35">
      <c r="A194" s="88">
        <v>189</v>
      </c>
      <c r="B194" s="11" t="s">
        <v>435</v>
      </c>
      <c r="C194" s="11" t="s">
        <v>1285</v>
      </c>
      <c r="D194" s="89"/>
      <c r="E194" s="90"/>
      <c r="F194" s="90"/>
      <c r="G194" s="90"/>
      <c r="H194" s="90"/>
      <c r="I194" s="90"/>
      <c r="J194" s="90"/>
      <c r="K194" s="90"/>
      <c r="L194" s="94">
        <f t="shared" si="0"/>
        <v>0</v>
      </c>
      <c r="M194" s="96">
        <f t="shared" si="1"/>
        <v>0</v>
      </c>
      <c r="N194" s="96">
        <f t="shared" si="2"/>
        <v>0</v>
      </c>
      <c r="O194" s="35"/>
      <c r="P194" s="35"/>
      <c r="Q194" s="35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5" customHeight="1" x14ac:dyDescent="0.35">
      <c r="A195" s="88">
        <v>190</v>
      </c>
      <c r="B195" s="99" t="s">
        <v>1318</v>
      </c>
      <c r="C195" s="11" t="s">
        <v>1319</v>
      </c>
      <c r="D195" s="89"/>
      <c r="E195" s="211"/>
      <c r="F195" s="90"/>
      <c r="G195" s="90"/>
      <c r="H195" s="90"/>
      <c r="I195" s="90"/>
      <c r="J195" s="90"/>
      <c r="K195" s="90"/>
      <c r="L195" s="94">
        <f t="shared" si="0"/>
        <v>0</v>
      </c>
      <c r="M195" s="96">
        <f t="shared" si="1"/>
        <v>0</v>
      </c>
      <c r="N195" s="96">
        <f t="shared" si="2"/>
        <v>0</v>
      </c>
      <c r="O195" s="35"/>
      <c r="P195" s="35"/>
      <c r="Q195" s="35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5" customHeight="1" x14ac:dyDescent="0.35">
      <c r="A196" s="88">
        <v>191</v>
      </c>
      <c r="B196" s="99" t="s">
        <v>318</v>
      </c>
      <c r="C196" s="129" t="s">
        <v>567</v>
      </c>
      <c r="D196" s="89"/>
      <c r="E196" s="137"/>
      <c r="F196" s="43"/>
      <c r="G196" s="43"/>
      <c r="H196" s="43"/>
      <c r="I196" s="43"/>
      <c r="J196" s="43"/>
      <c r="K196" s="43"/>
      <c r="L196" s="94">
        <f t="shared" si="0"/>
        <v>0</v>
      </c>
      <c r="M196" s="96">
        <f t="shared" si="1"/>
        <v>0</v>
      </c>
      <c r="N196" s="96">
        <f t="shared" si="2"/>
        <v>0</v>
      </c>
      <c r="O196" s="35"/>
      <c r="P196" s="35"/>
      <c r="Q196" s="35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5" customHeight="1" x14ac:dyDescent="0.35">
      <c r="A197" s="88">
        <v>192</v>
      </c>
      <c r="B197" s="99" t="s">
        <v>1323</v>
      </c>
      <c r="C197" s="129" t="s">
        <v>357</v>
      </c>
      <c r="D197" s="89"/>
      <c r="E197" s="267"/>
      <c r="F197" s="43"/>
      <c r="G197" s="43"/>
      <c r="H197" s="43"/>
      <c r="I197" s="43"/>
      <c r="J197" s="43"/>
      <c r="K197" s="43"/>
      <c r="L197" s="94">
        <f t="shared" si="0"/>
        <v>0</v>
      </c>
      <c r="M197" s="96">
        <f t="shared" si="1"/>
        <v>0</v>
      </c>
      <c r="N197" s="96">
        <f t="shared" si="2"/>
        <v>0</v>
      </c>
      <c r="O197" s="35"/>
      <c r="P197" s="35"/>
      <c r="Q197" s="35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5" customHeight="1" x14ac:dyDescent="0.35">
      <c r="A198" s="88">
        <v>193</v>
      </c>
      <c r="B198" s="99" t="s">
        <v>398</v>
      </c>
      <c r="C198" s="129" t="s">
        <v>1294</v>
      </c>
      <c r="D198" s="89"/>
      <c r="E198" s="267"/>
      <c r="F198" s="43"/>
      <c r="G198" s="43"/>
      <c r="H198" s="43"/>
      <c r="I198" s="43"/>
      <c r="J198" s="43"/>
      <c r="K198" s="43"/>
      <c r="L198" s="94">
        <f t="shared" si="0"/>
        <v>0</v>
      </c>
      <c r="M198" s="96">
        <f t="shared" si="1"/>
        <v>0</v>
      </c>
      <c r="N198" s="96">
        <f t="shared" si="2"/>
        <v>0</v>
      </c>
      <c r="O198" s="35"/>
      <c r="P198" s="35"/>
      <c r="Q198" s="35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6.5" customHeight="1" x14ac:dyDescent="0.35">
      <c r="A199" s="349"/>
      <c r="B199" s="350" t="s">
        <v>620</v>
      </c>
      <c r="C199" s="351"/>
      <c r="D199" s="352"/>
      <c r="E199" s="353"/>
      <c r="F199" s="353"/>
      <c r="G199" s="353"/>
      <c r="H199" s="353"/>
      <c r="I199" s="353"/>
      <c r="J199" s="353"/>
      <c r="K199" s="353"/>
      <c r="L199" s="354">
        <f t="shared" ref="D199:M199" si="3">SUM(L8:L198)</f>
        <v>0</v>
      </c>
      <c r="M199" s="355">
        <f t="shared" si="3"/>
        <v>0</v>
      </c>
      <c r="N199" s="357"/>
      <c r="O199" s="35"/>
      <c r="P199" s="35"/>
      <c r="Q199" s="35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3.5" customHeight="1" x14ac:dyDescent="0.35">
      <c r="A200" s="88"/>
      <c r="B200" s="99"/>
      <c r="C200" s="11"/>
      <c r="D200" s="11"/>
      <c r="E200" s="14"/>
      <c r="F200" s="14"/>
      <c r="G200" s="14"/>
      <c r="H200" s="14"/>
      <c r="I200" s="14"/>
      <c r="J200" s="14"/>
      <c r="K200" s="14"/>
      <c r="L200" s="94"/>
      <c r="M200" s="96"/>
      <c r="N200" s="96">
        <f>D200-M200</f>
        <v>0</v>
      </c>
      <c r="O200" s="35"/>
      <c r="P200" s="35"/>
      <c r="Q200" s="35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3.5" customHeight="1" x14ac:dyDescent="0.35">
      <c r="A201" s="359"/>
      <c r="B201" s="360" t="s">
        <v>755</v>
      </c>
      <c r="C201" s="361"/>
      <c r="D201" s="361"/>
      <c r="E201" s="362"/>
      <c r="F201" s="362"/>
      <c r="G201" s="362"/>
      <c r="H201" s="362"/>
      <c r="I201" s="362"/>
      <c r="J201" s="362"/>
      <c r="K201" s="362"/>
      <c r="L201" s="364"/>
      <c r="M201" s="365"/>
      <c r="N201" s="365"/>
      <c r="O201" s="35"/>
      <c r="P201" s="35"/>
      <c r="Q201" s="35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5.75" customHeight="1" x14ac:dyDescent="0.35">
      <c r="A202" s="88">
        <v>1</v>
      </c>
      <c r="B202" s="11" t="s">
        <v>1366</v>
      </c>
      <c r="C202" s="122" t="s">
        <v>1367</v>
      </c>
      <c r="D202" s="366"/>
      <c r="E202" s="267"/>
      <c r="F202" s="14"/>
      <c r="G202" s="14"/>
      <c r="H202" s="14"/>
      <c r="I202" s="14"/>
      <c r="J202" s="14"/>
      <c r="K202" s="14"/>
      <c r="L202" s="94">
        <f t="shared" ref="L202:L226" si="4">D202-E202-F202-G202-H202-I202-J202-K202</f>
        <v>0</v>
      </c>
      <c r="M202" s="96">
        <f t="shared" ref="M202:M226" si="5">E202+F202+G202+H202+I202+J202+K202+L202</f>
        <v>0</v>
      </c>
      <c r="N202" s="96">
        <f t="shared" ref="N202:N226" si="6">D202-M202</f>
        <v>0</v>
      </c>
      <c r="O202" s="35"/>
      <c r="P202" s="35"/>
      <c r="Q202" s="35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5.75" customHeight="1" x14ac:dyDescent="0.35">
      <c r="A203" s="88">
        <v>2</v>
      </c>
      <c r="B203" s="11" t="s">
        <v>827</v>
      </c>
      <c r="C203" s="122" t="s">
        <v>1371</v>
      </c>
      <c r="D203" s="366"/>
      <c r="E203" s="367"/>
      <c r="F203" s="368"/>
      <c r="G203" s="368"/>
      <c r="H203" s="368"/>
      <c r="I203" s="368"/>
      <c r="J203" s="368"/>
      <c r="K203" s="368"/>
      <c r="L203" s="94">
        <f t="shared" si="4"/>
        <v>0</v>
      </c>
      <c r="M203" s="96">
        <f t="shared" si="5"/>
        <v>0</v>
      </c>
      <c r="N203" s="96">
        <f t="shared" si="6"/>
        <v>0</v>
      </c>
      <c r="O203" s="35"/>
      <c r="P203" s="35"/>
      <c r="Q203" s="35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5.75" customHeight="1" x14ac:dyDescent="0.35">
      <c r="A204" s="88">
        <v>3</v>
      </c>
      <c r="B204" s="11" t="s">
        <v>1375</v>
      </c>
      <c r="C204" s="122" t="s">
        <v>1367</v>
      </c>
      <c r="D204" s="366"/>
      <c r="E204" s="267"/>
      <c r="F204" s="14"/>
      <c r="G204" s="14"/>
      <c r="H204" s="14"/>
      <c r="I204" s="14"/>
      <c r="J204" s="14"/>
      <c r="K204" s="14"/>
      <c r="L204" s="94">
        <f t="shared" si="4"/>
        <v>0</v>
      </c>
      <c r="M204" s="96">
        <f t="shared" si="5"/>
        <v>0</v>
      </c>
      <c r="N204" s="96">
        <f t="shared" si="6"/>
        <v>0</v>
      </c>
      <c r="O204" s="35"/>
      <c r="P204" s="35"/>
      <c r="Q204" s="35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5.75" customHeight="1" x14ac:dyDescent="0.35">
      <c r="A205" s="88">
        <v>4</v>
      </c>
      <c r="B205" s="11" t="s">
        <v>849</v>
      </c>
      <c r="C205" s="122" t="s">
        <v>1367</v>
      </c>
      <c r="D205" s="369"/>
      <c r="E205" s="90"/>
      <c r="F205" s="120"/>
      <c r="G205" s="120"/>
      <c r="H205" s="120"/>
      <c r="I205" s="120"/>
      <c r="J205" s="120"/>
      <c r="K205" s="120"/>
      <c r="L205" s="94">
        <f t="shared" si="4"/>
        <v>0</v>
      </c>
      <c r="M205" s="96">
        <f t="shared" si="5"/>
        <v>0</v>
      </c>
      <c r="N205" s="96">
        <f t="shared" si="6"/>
        <v>0</v>
      </c>
      <c r="O205" s="35"/>
      <c r="P205" s="35"/>
      <c r="Q205" s="35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3.5" customHeight="1" x14ac:dyDescent="0.35">
      <c r="A206" s="88">
        <v>5</v>
      </c>
      <c r="B206" s="11" t="s">
        <v>809</v>
      </c>
      <c r="C206" s="122" t="s">
        <v>1367</v>
      </c>
      <c r="D206" s="366"/>
      <c r="E206" s="43"/>
      <c r="F206" s="14"/>
      <c r="G206" s="14"/>
      <c r="H206" s="14"/>
      <c r="I206" s="14"/>
      <c r="J206" s="14"/>
      <c r="K206" s="14"/>
      <c r="L206" s="94">
        <f t="shared" si="4"/>
        <v>0</v>
      </c>
      <c r="M206" s="96">
        <f t="shared" si="5"/>
        <v>0</v>
      </c>
      <c r="N206" s="96">
        <f t="shared" si="6"/>
        <v>0</v>
      </c>
      <c r="O206" s="35"/>
      <c r="P206" s="35"/>
      <c r="Q206" s="35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3.5" customHeight="1" x14ac:dyDescent="0.35">
      <c r="A207" s="88">
        <v>6</v>
      </c>
      <c r="B207" s="11" t="s">
        <v>1385</v>
      </c>
      <c r="C207" s="122" t="s">
        <v>1386</v>
      </c>
      <c r="D207" s="369"/>
      <c r="E207" s="43"/>
      <c r="F207" s="14"/>
      <c r="G207" s="14"/>
      <c r="H207" s="14"/>
      <c r="I207" s="14"/>
      <c r="J207" s="14"/>
      <c r="K207" s="14"/>
      <c r="L207" s="94">
        <f t="shared" si="4"/>
        <v>0</v>
      </c>
      <c r="M207" s="96">
        <f t="shared" si="5"/>
        <v>0</v>
      </c>
      <c r="N207" s="96">
        <f t="shared" si="6"/>
        <v>0</v>
      </c>
      <c r="O207" s="35"/>
      <c r="P207" s="35"/>
      <c r="Q207" s="35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3.5" customHeight="1" x14ac:dyDescent="0.35">
      <c r="A208" s="88">
        <v>7</v>
      </c>
      <c r="B208" s="101" t="s">
        <v>778</v>
      </c>
      <c r="C208" s="101" t="s">
        <v>1391</v>
      </c>
      <c r="D208" s="366"/>
      <c r="E208" s="43"/>
      <c r="F208" s="14"/>
      <c r="G208" s="14"/>
      <c r="H208" s="14"/>
      <c r="I208" s="14"/>
      <c r="J208" s="14"/>
      <c r="K208" s="14"/>
      <c r="L208" s="94">
        <f t="shared" si="4"/>
        <v>0</v>
      </c>
      <c r="M208" s="96">
        <f t="shared" si="5"/>
        <v>0</v>
      </c>
      <c r="N208" s="96">
        <f t="shared" si="6"/>
        <v>0</v>
      </c>
      <c r="O208" s="35"/>
      <c r="P208" s="35"/>
      <c r="Q208" s="35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3.5" customHeight="1" x14ac:dyDescent="0.35">
      <c r="A209" s="88">
        <v>8</v>
      </c>
      <c r="B209" s="11" t="s">
        <v>769</v>
      </c>
      <c r="C209" s="11" t="s">
        <v>1397</v>
      </c>
      <c r="D209" s="366"/>
      <c r="E209" s="43"/>
      <c r="F209" s="14"/>
      <c r="G209" s="14"/>
      <c r="H209" s="14"/>
      <c r="I209" s="14"/>
      <c r="J209" s="14"/>
      <c r="K209" s="14"/>
      <c r="L209" s="94">
        <f t="shared" si="4"/>
        <v>0</v>
      </c>
      <c r="M209" s="96">
        <f t="shared" si="5"/>
        <v>0</v>
      </c>
      <c r="N209" s="96">
        <f t="shared" si="6"/>
        <v>0</v>
      </c>
      <c r="O209" s="35"/>
      <c r="P209" s="35"/>
      <c r="Q209" s="35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3.5" customHeight="1" x14ac:dyDescent="0.35">
      <c r="A210" s="88">
        <v>9</v>
      </c>
      <c r="B210" s="11" t="s">
        <v>786</v>
      </c>
      <c r="C210" s="11" t="s">
        <v>1404</v>
      </c>
      <c r="D210" s="366"/>
      <c r="E210" s="43"/>
      <c r="F210" s="14"/>
      <c r="G210" s="14"/>
      <c r="H210" s="14"/>
      <c r="I210" s="14"/>
      <c r="J210" s="14"/>
      <c r="K210" s="14"/>
      <c r="L210" s="94">
        <f t="shared" si="4"/>
        <v>0</v>
      </c>
      <c r="M210" s="96">
        <f t="shared" si="5"/>
        <v>0</v>
      </c>
      <c r="N210" s="96">
        <f t="shared" si="6"/>
        <v>0</v>
      </c>
      <c r="O210" s="35"/>
      <c r="P210" s="35"/>
      <c r="Q210" s="35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3.5" customHeight="1" x14ac:dyDescent="0.35">
      <c r="A211" s="88">
        <v>10</v>
      </c>
      <c r="B211" s="11" t="s">
        <v>1409</v>
      </c>
      <c r="C211" s="122" t="s">
        <v>1367</v>
      </c>
      <c r="D211" s="366"/>
      <c r="E211" s="267"/>
      <c r="F211" s="14"/>
      <c r="G211" s="14"/>
      <c r="H211" s="14"/>
      <c r="I211" s="14"/>
      <c r="J211" s="14"/>
      <c r="K211" s="14"/>
      <c r="L211" s="94">
        <f t="shared" si="4"/>
        <v>0</v>
      </c>
      <c r="M211" s="96">
        <f t="shared" si="5"/>
        <v>0</v>
      </c>
      <c r="N211" s="96">
        <f t="shared" si="6"/>
        <v>0</v>
      </c>
      <c r="O211" s="35"/>
      <c r="P211" s="35"/>
      <c r="Q211" s="35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3.5" customHeight="1" x14ac:dyDescent="0.35">
      <c r="A212" s="88">
        <v>11</v>
      </c>
      <c r="B212" s="11" t="s">
        <v>846</v>
      </c>
      <c r="C212" s="122" t="s">
        <v>1404</v>
      </c>
      <c r="D212" s="366"/>
      <c r="E212" s="267"/>
      <c r="F212" s="14"/>
      <c r="G212" s="14"/>
      <c r="H212" s="14"/>
      <c r="I212" s="14"/>
      <c r="J212" s="14"/>
      <c r="K212" s="14"/>
      <c r="L212" s="94">
        <f t="shared" si="4"/>
        <v>0</v>
      </c>
      <c r="M212" s="96">
        <f t="shared" si="5"/>
        <v>0</v>
      </c>
      <c r="N212" s="96">
        <f t="shared" si="6"/>
        <v>0</v>
      </c>
      <c r="O212" s="35"/>
      <c r="P212" s="35"/>
      <c r="Q212" s="35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3.5" customHeight="1" x14ac:dyDescent="0.35">
      <c r="A213" s="88">
        <v>12</v>
      </c>
      <c r="B213" s="11" t="s">
        <v>795</v>
      </c>
      <c r="C213" s="122" t="s">
        <v>1415</v>
      </c>
      <c r="D213" s="366"/>
      <c r="E213" s="131"/>
      <c r="F213" s="120"/>
      <c r="G213" s="120"/>
      <c r="H213" s="120"/>
      <c r="I213" s="120"/>
      <c r="J213" s="120"/>
      <c r="K213" s="120"/>
      <c r="L213" s="94">
        <f t="shared" si="4"/>
        <v>0</v>
      </c>
      <c r="M213" s="96">
        <f t="shared" si="5"/>
        <v>0</v>
      </c>
      <c r="N213" s="96">
        <f t="shared" si="6"/>
        <v>0</v>
      </c>
      <c r="O213" s="35"/>
      <c r="P213" s="35"/>
      <c r="Q213" s="35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3.5" customHeight="1" x14ac:dyDescent="0.35">
      <c r="A214" s="88">
        <v>13</v>
      </c>
      <c r="B214" s="11" t="s">
        <v>1416</v>
      </c>
      <c r="C214" s="122" t="s">
        <v>1367</v>
      </c>
      <c r="D214" s="369"/>
      <c r="E214" s="43"/>
      <c r="F214" s="14"/>
      <c r="G214" s="14"/>
      <c r="H214" s="14"/>
      <c r="I214" s="14"/>
      <c r="J214" s="14"/>
      <c r="K214" s="14"/>
      <c r="L214" s="94">
        <f t="shared" si="4"/>
        <v>0</v>
      </c>
      <c r="M214" s="96">
        <f t="shared" si="5"/>
        <v>0</v>
      </c>
      <c r="N214" s="96">
        <f t="shared" si="6"/>
        <v>0</v>
      </c>
      <c r="O214" s="35"/>
      <c r="P214" s="35"/>
      <c r="Q214" s="35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3.5" customHeight="1" x14ac:dyDescent="0.35">
      <c r="A215" s="88">
        <v>14</v>
      </c>
      <c r="B215" s="11" t="s">
        <v>842</v>
      </c>
      <c r="C215" s="122" t="s">
        <v>1417</v>
      </c>
      <c r="D215" s="366"/>
      <c r="E215" s="267"/>
      <c r="F215" s="14"/>
      <c r="G215" s="14"/>
      <c r="H215" s="14"/>
      <c r="I215" s="14"/>
      <c r="J215" s="14"/>
      <c r="K215" s="14"/>
      <c r="L215" s="94">
        <f t="shared" si="4"/>
        <v>0</v>
      </c>
      <c r="M215" s="96">
        <f t="shared" si="5"/>
        <v>0</v>
      </c>
      <c r="N215" s="96">
        <f t="shared" si="6"/>
        <v>0</v>
      </c>
      <c r="O215" s="35"/>
      <c r="P215" s="35"/>
      <c r="Q215" s="35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5.5" x14ac:dyDescent="0.35">
      <c r="A216" s="88">
        <v>15</v>
      </c>
      <c r="B216" s="11" t="s">
        <v>1418</v>
      </c>
      <c r="C216" s="122" t="s">
        <v>1419</v>
      </c>
      <c r="D216" s="366"/>
      <c r="E216" s="267"/>
      <c r="F216" s="14"/>
      <c r="G216" s="14"/>
      <c r="H216" s="14"/>
      <c r="I216" s="14"/>
      <c r="J216" s="14"/>
      <c r="K216" s="14"/>
      <c r="L216" s="94">
        <f t="shared" si="4"/>
        <v>0</v>
      </c>
      <c r="M216" s="96">
        <f t="shared" si="5"/>
        <v>0</v>
      </c>
      <c r="N216" s="96">
        <f t="shared" si="6"/>
        <v>0</v>
      </c>
      <c r="O216" s="35"/>
      <c r="P216" s="35"/>
      <c r="Q216" s="35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5.5" x14ac:dyDescent="0.35">
      <c r="A217" s="88">
        <v>16</v>
      </c>
      <c r="B217" s="11" t="s">
        <v>853</v>
      </c>
      <c r="C217" s="122" t="s">
        <v>1420</v>
      </c>
      <c r="D217" s="369"/>
      <c r="E217" s="43"/>
      <c r="F217" s="14"/>
      <c r="G217" s="14"/>
      <c r="H217" s="14"/>
      <c r="I217" s="14"/>
      <c r="J217" s="14"/>
      <c r="K217" s="14"/>
      <c r="L217" s="94">
        <f t="shared" si="4"/>
        <v>0</v>
      </c>
      <c r="M217" s="96">
        <f t="shared" si="5"/>
        <v>0</v>
      </c>
      <c r="N217" s="96">
        <f t="shared" si="6"/>
        <v>0</v>
      </c>
      <c r="O217" s="35"/>
      <c r="P217" s="35"/>
      <c r="Q217" s="35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3.5" customHeight="1" x14ac:dyDescent="0.35">
      <c r="A218" s="88">
        <v>17</v>
      </c>
      <c r="B218" s="11" t="s">
        <v>831</v>
      </c>
      <c r="C218" s="122" t="s">
        <v>1404</v>
      </c>
      <c r="D218" s="366"/>
      <c r="E218" s="267"/>
      <c r="F218" s="14"/>
      <c r="G218" s="14"/>
      <c r="H218" s="14"/>
      <c r="I218" s="14"/>
      <c r="J218" s="14"/>
      <c r="K218" s="14"/>
      <c r="L218" s="94">
        <f t="shared" si="4"/>
        <v>0</v>
      </c>
      <c r="M218" s="96">
        <f t="shared" si="5"/>
        <v>0</v>
      </c>
      <c r="N218" s="96">
        <f t="shared" si="6"/>
        <v>0</v>
      </c>
      <c r="O218" s="35"/>
      <c r="P218" s="35"/>
      <c r="Q218" s="35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3.5" customHeight="1" x14ac:dyDescent="0.35">
      <c r="A219" s="88">
        <v>18</v>
      </c>
      <c r="B219" s="11" t="s">
        <v>1421</v>
      </c>
      <c r="C219" s="122" t="s">
        <v>1404</v>
      </c>
      <c r="D219" s="366"/>
      <c r="E219" s="267"/>
      <c r="F219" s="14"/>
      <c r="G219" s="14"/>
      <c r="H219" s="14"/>
      <c r="I219" s="14"/>
      <c r="J219" s="14"/>
      <c r="K219" s="14"/>
      <c r="L219" s="94">
        <f t="shared" si="4"/>
        <v>0</v>
      </c>
      <c r="M219" s="96">
        <f t="shared" si="5"/>
        <v>0</v>
      </c>
      <c r="N219" s="96">
        <f t="shared" si="6"/>
        <v>0</v>
      </c>
      <c r="O219" s="35"/>
      <c r="P219" s="35"/>
      <c r="Q219" s="35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3.5" customHeight="1" x14ac:dyDescent="0.35">
      <c r="A220" s="88">
        <v>19</v>
      </c>
      <c r="B220" s="11" t="s">
        <v>803</v>
      </c>
      <c r="C220" s="122" t="s">
        <v>1404</v>
      </c>
      <c r="D220" s="366"/>
      <c r="E220" s="131"/>
      <c r="F220" s="120"/>
      <c r="G220" s="120"/>
      <c r="H220" s="120"/>
      <c r="I220" s="120"/>
      <c r="J220" s="120"/>
      <c r="K220" s="120"/>
      <c r="L220" s="94">
        <f t="shared" si="4"/>
        <v>0</v>
      </c>
      <c r="M220" s="96">
        <f t="shared" si="5"/>
        <v>0</v>
      </c>
      <c r="N220" s="96">
        <f t="shared" si="6"/>
        <v>0</v>
      </c>
      <c r="O220" s="35"/>
      <c r="P220" s="35"/>
      <c r="Q220" s="35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3.5" customHeight="1" x14ac:dyDescent="0.35">
      <c r="A221" s="88">
        <v>20</v>
      </c>
      <c r="B221" s="129" t="s">
        <v>1422</v>
      </c>
      <c r="C221" s="129" t="s">
        <v>1423</v>
      </c>
      <c r="D221" s="366"/>
      <c r="E221" s="43"/>
      <c r="F221" s="14"/>
      <c r="G221" s="14"/>
      <c r="H221" s="14"/>
      <c r="I221" s="14"/>
      <c r="J221" s="14"/>
      <c r="K221" s="14"/>
      <c r="L221" s="94">
        <f t="shared" si="4"/>
        <v>0</v>
      </c>
      <c r="M221" s="96">
        <f t="shared" si="5"/>
        <v>0</v>
      </c>
      <c r="N221" s="96">
        <f t="shared" si="6"/>
        <v>0</v>
      </c>
      <c r="O221" s="35"/>
      <c r="P221" s="35"/>
      <c r="Q221" s="35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3.5" customHeight="1" x14ac:dyDescent="0.35">
      <c r="A222" s="88">
        <v>21</v>
      </c>
      <c r="B222" s="11" t="s">
        <v>839</v>
      </c>
      <c r="C222" s="122" t="s">
        <v>1367</v>
      </c>
      <c r="D222" s="366"/>
      <c r="E222" s="267"/>
      <c r="F222" s="14"/>
      <c r="G222" s="14"/>
      <c r="H222" s="14"/>
      <c r="I222" s="14"/>
      <c r="J222" s="14"/>
      <c r="K222" s="14"/>
      <c r="L222" s="94">
        <f t="shared" si="4"/>
        <v>0</v>
      </c>
      <c r="M222" s="96">
        <f t="shared" si="5"/>
        <v>0</v>
      </c>
      <c r="N222" s="96">
        <f t="shared" si="6"/>
        <v>0</v>
      </c>
      <c r="O222" s="35"/>
      <c r="P222" s="35"/>
      <c r="Q222" s="35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3.5" customHeight="1" x14ac:dyDescent="0.35">
      <c r="A223" s="88">
        <v>22</v>
      </c>
      <c r="B223" s="129" t="s">
        <v>793</v>
      </c>
      <c r="C223" s="129" t="s">
        <v>1424</v>
      </c>
      <c r="D223" s="366"/>
      <c r="E223" s="43"/>
      <c r="F223" s="14"/>
      <c r="G223" s="14"/>
      <c r="H223" s="14"/>
      <c r="I223" s="14"/>
      <c r="J223" s="14"/>
      <c r="K223" s="14"/>
      <c r="L223" s="94">
        <f t="shared" si="4"/>
        <v>0</v>
      </c>
      <c r="M223" s="96">
        <f t="shared" si="5"/>
        <v>0</v>
      </c>
      <c r="N223" s="96">
        <f t="shared" si="6"/>
        <v>0</v>
      </c>
      <c r="O223" s="35"/>
      <c r="P223" s="35"/>
      <c r="Q223" s="35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3.5" customHeight="1" x14ac:dyDescent="0.35">
      <c r="A224" s="88">
        <v>23</v>
      </c>
      <c r="B224" s="11" t="s">
        <v>1425</v>
      </c>
      <c r="C224" s="122" t="s">
        <v>1404</v>
      </c>
      <c r="D224" s="366"/>
      <c r="E224" s="131"/>
      <c r="F224" s="120"/>
      <c r="G224" s="120"/>
      <c r="H224" s="120"/>
      <c r="I224" s="120"/>
      <c r="J224" s="120"/>
      <c r="K224" s="120"/>
      <c r="L224" s="94">
        <f t="shared" si="4"/>
        <v>0</v>
      </c>
      <c r="M224" s="96">
        <f t="shared" si="5"/>
        <v>0</v>
      </c>
      <c r="N224" s="96">
        <f t="shared" si="6"/>
        <v>0</v>
      </c>
      <c r="O224" s="35"/>
      <c r="P224" s="35"/>
      <c r="Q224" s="35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3.5" customHeight="1" x14ac:dyDescent="0.35">
      <c r="A225" s="88">
        <v>24</v>
      </c>
      <c r="B225" s="101" t="s">
        <v>1427</v>
      </c>
      <c r="C225" s="101" t="s">
        <v>1428</v>
      </c>
      <c r="D225" s="366"/>
      <c r="E225" s="43"/>
      <c r="F225" s="14"/>
      <c r="G225" s="14"/>
      <c r="H225" s="14"/>
      <c r="I225" s="14"/>
      <c r="J225" s="14"/>
      <c r="K225" s="14"/>
      <c r="L225" s="94">
        <f t="shared" si="4"/>
        <v>0</v>
      </c>
      <c r="M225" s="96">
        <f t="shared" si="5"/>
        <v>0</v>
      </c>
      <c r="N225" s="96">
        <f t="shared" si="6"/>
        <v>0</v>
      </c>
      <c r="O225" s="35"/>
      <c r="P225" s="35"/>
      <c r="Q225" s="35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3.5" customHeight="1" x14ac:dyDescent="0.35">
      <c r="A226" s="88">
        <v>25</v>
      </c>
      <c r="B226" s="11" t="s">
        <v>771</v>
      </c>
      <c r="C226" s="122" t="s">
        <v>1431</v>
      </c>
      <c r="D226" s="369"/>
      <c r="E226" s="14"/>
      <c r="F226" s="14"/>
      <c r="G226" s="14"/>
      <c r="H226" s="14"/>
      <c r="I226" s="14"/>
      <c r="J226" s="14"/>
      <c r="K226" s="14"/>
      <c r="L226" s="94">
        <f t="shared" si="4"/>
        <v>0</v>
      </c>
      <c r="M226" s="96">
        <f t="shared" si="5"/>
        <v>0</v>
      </c>
      <c r="N226" s="96">
        <f t="shared" si="6"/>
        <v>0</v>
      </c>
      <c r="O226" s="35"/>
      <c r="P226" s="35"/>
      <c r="Q226" s="35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9.5" customHeight="1" x14ac:dyDescent="0.35">
      <c r="A227" s="349"/>
      <c r="B227" s="350" t="s">
        <v>620</v>
      </c>
      <c r="C227" s="392"/>
      <c r="D227" s="393"/>
      <c r="E227" s="394"/>
      <c r="F227" s="394"/>
      <c r="G227" s="394"/>
      <c r="H227" s="394"/>
      <c r="I227" s="394"/>
      <c r="J227" s="394"/>
      <c r="K227" s="394"/>
      <c r="L227" s="395">
        <f t="shared" ref="D227:M227" si="7">SUM(L202:L226)</f>
        <v>0</v>
      </c>
      <c r="M227" s="396">
        <f t="shared" si="7"/>
        <v>0</v>
      </c>
      <c r="N227" s="357"/>
      <c r="O227" s="35"/>
      <c r="P227" s="35"/>
      <c r="Q227" s="35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3.5" customHeight="1" x14ac:dyDescent="0.35">
      <c r="A228" s="88"/>
      <c r="B228" s="99"/>
      <c r="C228" s="11"/>
      <c r="D228" s="11"/>
      <c r="E228" s="14"/>
      <c r="F228" s="14"/>
      <c r="G228" s="14"/>
      <c r="H228" s="14"/>
      <c r="I228" s="14"/>
      <c r="J228" s="14"/>
      <c r="K228" s="14"/>
      <c r="L228" s="94"/>
      <c r="M228" s="96"/>
      <c r="N228" s="96"/>
      <c r="O228" s="35"/>
      <c r="P228" s="35"/>
      <c r="Q228" s="35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3.5" customHeight="1" x14ac:dyDescent="0.35">
      <c r="A229" s="359"/>
      <c r="B229" s="360" t="s">
        <v>1279</v>
      </c>
      <c r="C229" s="361"/>
      <c r="D229" s="361"/>
      <c r="E229" s="362"/>
      <c r="F229" s="362"/>
      <c r="G229" s="362"/>
      <c r="H229" s="362"/>
      <c r="I229" s="362"/>
      <c r="J229" s="362"/>
      <c r="K229" s="362"/>
      <c r="L229" s="364"/>
      <c r="M229" s="365"/>
      <c r="N229" s="365"/>
      <c r="O229" s="35"/>
      <c r="P229" s="35"/>
      <c r="Q229" s="35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5.5" x14ac:dyDescent="0.35">
      <c r="A230" s="88">
        <v>1</v>
      </c>
      <c r="B230" s="11" t="s">
        <v>1051</v>
      </c>
      <c r="C230" s="11"/>
      <c r="D230" s="89"/>
      <c r="E230" s="90"/>
      <c r="F230" s="120"/>
      <c r="G230" s="120"/>
      <c r="H230" s="120"/>
      <c r="I230" s="120"/>
      <c r="J230" s="120"/>
      <c r="K230" s="120"/>
      <c r="L230" s="94">
        <f t="shared" ref="L230:L281" si="8">D230-E230-F230-G230-H230-I230-J230-K230</f>
        <v>0</v>
      </c>
      <c r="M230" s="96">
        <f t="shared" ref="M230:M281" si="9">E230+F230+G230+H230+I230+J230+K230+L230</f>
        <v>0</v>
      </c>
      <c r="N230" s="96">
        <f t="shared" ref="N230:N245" si="10">D230-M230</f>
        <v>0</v>
      </c>
      <c r="O230" s="35"/>
      <c r="P230" s="35"/>
      <c r="Q230" s="35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5.5" x14ac:dyDescent="0.35">
      <c r="A231" s="88">
        <v>2</v>
      </c>
      <c r="B231" s="11" t="s">
        <v>943</v>
      </c>
      <c r="C231" s="11" t="s">
        <v>1285</v>
      </c>
      <c r="D231" s="89"/>
      <c r="E231" s="43"/>
      <c r="F231" s="14"/>
      <c r="G231" s="14"/>
      <c r="H231" s="14"/>
      <c r="I231" s="14"/>
      <c r="J231" s="14"/>
      <c r="K231" s="14"/>
      <c r="L231" s="94">
        <f t="shared" si="8"/>
        <v>0</v>
      </c>
      <c r="M231" s="96">
        <f t="shared" si="9"/>
        <v>0</v>
      </c>
      <c r="N231" s="96">
        <f t="shared" si="10"/>
        <v>0</v>
      </c>
      <c r="O231" s="35"/>
      <c r="P231" s="35"/>
      <c r="Q231" s="35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5.5" x14ac:dyDescent="0.35">
      <c r="A232" s="88">
        <v>3</v>
      </c>
      <c r="B232" s="11" t="s">
        <v>920</v>
      </c>
      <c r="C232" s="11"/>
      <c r="D232" s="89"/>
      <c r="E232" s="43"/>
      <c r="F232" s="14"/>
      <c r="G232" s="14"/>
      <c r="H232" s="14"/>
      <c r="I232" s="14"/>
      <c r="J232" s="14"/>
      <c r="K232" s="14"/>
      <c r="L232" s="94">
        <f t="shared" si="8"/>
        <v>0</v>
      </c>
      <c r="M232" s="96">
        <f t="shared" si="9"/>
        <v>0</v>
      </c>
      <c r="N232" s="96">
        <f t="shared" si="10"/>
        <v>0</v>
      </c>
      <c r="O232" s="35"/>
      <c r="P232" s="35"/>
      <c r="Q232" s="35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5.5" x14ac:dyDescent="0.35">
      <c r="A233" s="88">
        <v>4</v>
      </c>
      <c r="B233" s="11" t="s">
        <v>1447</v>
      </c>
      <c r="C233" s="122" t="s">
        <v>1448</v>
      </c>
      <c r="D233" s="89"/>
      <c r="E233" s="120"/>
      <c r="F233" s="120"/>
      <c r="G233" s="120"/>
      <c r="H233" s="120"/>
      <c r="I233" s="120"/>
      <c r="J233" s="120"/>
      <c r="K233" s="120"/>
      <c r="L233" s="94">
        <f t="shared" si="8"/>
        <v>0</v>
      </c>
      <c r="M233" s="96">
        <f t="shared" si="9"/>
        <v>0</v>
      </c>
      <c r="N233" s="96">
        <f t="shared" si="10"/>
        <v>0</v>
      </c>
      <c r="O233" s="35"/>
      <c r="P233" s="35"/>
      <c r="Q233" s="35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3.5" customHeight="1" x14ac:dyDescent="0.35">
      <c r="A234" s="88">
        <v>6</v>
      </c>
      <c r="B234" s="11" t="s">
        <v>956</v>
      </c>
      <c r="C234" s="11" t="s">
        <v>1449</v>
      </c>
      <c r="D234" s="89"/>
      <c r="E234" s="43"/>
      <c r="F234" s="14"/>
      <c r="G234" s="14"/>
      <c r="H234" s="14"/>
      <c r="I234" s="14"/>
      <c r="J234" s="14"/>
      <c r="K234" s="14"/>
      <c r="L234" s="94">
        <f t="shared" si="8"/>
        <v>0</v>
      </c>
      <c r="M234" s="96">
        <f t="shared" si="9"/>
        <v>0</v>
      </c>
      <c r="N234" s="96">
        <f t="shared" si="10"/>
        <v>0</v>
      </c>
      <c r="O234" s="35"/>
      <c r="P234" s="35"/>
      <c r="Q234" s="35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3.5" customHeight="1" x14ac:dyDescent="0.35">
      <c r="A235" s="88">
        <v>7</v>
      </c>
      <c r="B235" s="11" t="s">
        <v>1450</v>
      </c>
      <c r="C235" s="122" t="s">
        <v>1448</v>
      </c>
      <c r="D235" s="89"/>
      <c r="E235" s="90"/>
      <c r="F235" s="120"/>
      <c r="G235" s="120"/>
      <c r="H235" s="120"/>
      <c r="I235" s="120"/>
      <c r="J235" s="120"/>
      <c r="K235" s="120"/>
      <c r="L235" s="94">
        <f t="shared" si="8"/>
        <v>0</v>
      </c>
      <c r="M235" s="96">
        <f t="shared" si="9"/>
        <v>0</v>
      </c>
      <c r="N235" s="96">
        <f t="shared" si="10"/>
        <v>0</v>
      </c>
      <c r="O235" s="35"/>
      <c r="P235" s="35"/>
      <c r="Q235" s="35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3.5" customHeight="1" x14ac:dyDescent="0.35">
      <c r="A236" s="88">
        <v>8</v>
      </c>
      <c r="B236" s="11" t="s">
        <v>1021</v>
      </c>
      <c r="C236" s="11" t="s">
        <v>1451</v>
      </c>
      <c r="D236" s="89"/>
      <c r="E236" s="43"/>
      <c r="F236" s="14"/>
      <c r="G236" s="14"/>
      <c r="H236" s="14"/>
      <c r="I236" s="14"/>
      <c r="J236" s="14"/>
      <c r="K236" s="14"/>
      <c r="L236" s="94">
        <f t="shared" si="8"/>
        <v>0</v>
      </c>
      <c r="M236" s="96">
        <f t="shared" si="9"/>
        <v>0</v>
      </c>
      <c r="N236" s="96">
        <f t="shared" si="10"/>
        <v>0</v>
      </c>
      <c r="O236" s="35"/>
      <c r="P236" s="35"/>
      <c r="Q236" s="35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3.5" customHeight="1" x14ac:dyDescent="0.35">
      <c r="A237" s="88">
        <v>9</v>
      </c>
      <c r="B237" s="11" t="s">
        <v>965</v>
      </c>
      <c r="C237" s="11" t="s">
        <v>1448</v>
      </c>
      <c r="D237" s="89"/>
      <c r="E237" s="43"/>
      <c r="F237" s="14"/>
      <c r="G237" s="14"/>
      <c r="H237" s="14"/>
      <c r="I237" s="14"/>
      <c r="J237" s="14"/>
      <c r="K237" s="14"/>
      <c r="L237" s="94">
        <f t="shared" si="8"/>
        <v>0</v>
      </c>
      <c r="M237" s="96">
        <f t="shared" si="9"/>
        <v>0</v>
      </c>
      <c r="N237" s="96">
        <f t="shared" si="10"/>
        <v>0</v>
      </c>
      <c r="O237" s="35"/>
      <c r="P237" s="35"/>
      <c r="Q237" s="35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3.5" customHeight="1" x14ac:dyDescent="0.35">
      <c r="A238" s="88">
        <v>10</v>
      </c>
      <c r="B238" s="11" t="s">
        <v>1001</v>
      </c>
      <c r="C238" s="11" t="s">
        <v>458</v>
      </c>
      <c r="D238" s="89"/>
      <c r="E238" s="43"/>
      <c r="F238" s="14"/>
      <c r="G238" s="14"/>
      <c r="H238" s="14"/>
      <c r="I238" s="14"/>
      <c r="J238" s="14"/>
      <c r="K238" s="14"/>
      <c r="L238" s="94">
        <f t="shared" si="8"/>
        <v>0</v>
      </c>
      <c r="M238" s="96">
        <f t="shared" si="9"/>
        <v>0</v>
      </c>
      <c r="N238" s="96">
        <f t="shared" si="10"/>
        <v>0</v>
      </c>
      <c r="O238" s="35"/>
      <c r="P238" s="35"/>
      <c r="Q238" s="35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3.5" customHeight="1" x14ac:dyDescent="0.35">
      <c r="A239" s="88">
        <v>11</v>
      </c>
      <c r="B239" s="11" t="s">
        <v>992</v>
      </c>
      <c r="C239" s="11" t="s">
        <v>1285</v>
      </c>
      <c r="D239" s="89"/>
      <c r="E239" s="43"/>
      <c r="F239" s="14"/>
      <c r="G239" s="14"/>
      <c r="H239" s="14"/>
      <c r="I239" s="14"/>
      <c r="J239" s="14"/>
      <c r="K239" s="14"/>
      <c r="L239" s="94">
        <f t="shared" si="8"/>
        <v>0</v>
      </c>
      <c r="M239" s="96">
        <f t="shared" si="9"/>
        <v>0</v>
      </c>
      <c r="N239" s="96">
        <f t="shared" si="10"/>
        <v>0</v>
      </c>
      <c r="O239" s="35"/>
      <c r="P239" s="35"/>
      <c r="Q239" s="35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3.5" customHeight="1" x14ac:dyDescent="0.35">
      <c r="A240" s="88">
        <v>12</v>
      </c>
      <c r="B240" s="11" t="s">
        <v>1454</v>
      </c>
      <c r="C240" s="11" t="s">
        <v>1455</v>
      </c>
      <c r="D240" s="89"/>
      <c r="E240" s="43"/>
      <c r="F240" s="14"/>
      <c r="G240" s="14"/>
      <c r="H240" s="14"/>
      <c r="I240" s="14"/>
      <c r="J240" s="14"/>
      <c r="K240" s="14"/>
      <c r="L240" s="94">
        <f t="shared" si="8"/>
        <v>0</v>
      </c>
      <c r="M240" s="96">
        <f t="shared" si="9"/>
        <v>0</v>
      </c>
      <c r="N240" s="96">
        <f t="shared" si="10"/>
        <v>0</v>
      </c>
      <c r="O240" s="35"/>
      <c r="P240" s="35"/>
      <c r="Q240" s="35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3.5" customHeight="1" x14ac:dyDescent="0.35">
      <c r="A241" s="88">
        <v>13</v>
      </c>
      <c r="B241" s="11" t="s">
        <v>925</v>
      </c>
      <c r="C241" s="122" t="s">
        <v>458</v>
      </c>
      <c r="D241" s="89"/>
      <c r="E241" s="90"/>
      <c r="F241" s="120"/>
      <c r="G241" s="120"/>
      <c r="H241" s="120"/>
      <c r="I241" s="120"/>
      <c r="J241" s="120"/>
      <c r="K241" s="120"/>
      <c r="L241" s="94">
        <f t="shared" si="8"/>
        <v>0</v>
      </c>
      <c r="M241" s="96">
        <f t="shared" si="9"/>
        <v>0</v>
      </c>
      <c r="N241" s="96">
        <f t="shared" si="10"/>
        <v>0</v>
      </c>
      <c r="O241" s="35"/>
      <c r="P241" s="35"/>
      <c r="Q241" s="35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3.5" customHeight="1" x14ac:dyDescent="0.35">
      <c r="A242" s="88">
        <v>14</v>
      </c>
      <c r="B242" s="11" t="s">
        <v>1458</v>
      </c>
      <c r="C242" s="11"/>
      <c r="D242" s="89"/>
      <c r="E242" s="43"/>
      <c r="F242" s="14"/>
      <c r="G242" s="14"/>
      <c r="H242" s="14"/>
      <c r="I242" s="14"/>
      <c r="J242" s="14"/>
      <c r="K242" s="14"/>
      <c r="L242" s="94">
        <f t="shared" si="8"/>
        <v>0</v>
      </c>
      <c r="M242" s="96">
        <f t="shared" si="9"/>
        <v>0</v>
      </c>
      <c r="N242" s="96">
        <f t="shared" si="10"/>
        <v>0</v>
      </c>
      <c r="O242" s="35"/>
      <c r="P242" s="35"/>
      <c r="Q242" s="35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3.5" customHeight="1" x14ac:dyDescent="0.35">
      <c r="A243" s="88">
        <v>15</v>
      </c>
      <c r="B243" s="11" t="s">
        <v>935</v>
      </c>
      <c r="C243" s="11" t="s">
        <v>1285</v>
      </c>
      <c r="D243" s="89"/>
      <c r="E243" s="43"/>
      <c r="F243" s="14"/>
      <c r="G243" s="14"/>
      <c r="H243" s="14"/>
      <c r="I243" s="14"/>
      <c r="J243" s="14"/>
      <c r="K243" s="14"/>
      <c r="L243" s="94">
        <f t="shared" si="8"/>
        <v>0</v>
      </c>
      <c r="M243" s="96">
        <f t="shared" si="9"/>
        <v>0</v>
      </c>
      <c r="N243" s="96">
        <f t="shared" si="10"/>
        <v>0</v>
      </c>
      <c r="O243" s="35"/>
      <c r="P243" s="35"/>
      <c r="Q243" s="35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3.5" customHeight="1" x14ac:dyDescent="0.35">
      <c r="A244" s="88">
        <v>16</v>
      </c>
      <c r="B244" s="11" t="s">
        <v>1461</v>
      </c>
      <c r="C244" s="11" t="s">
        <v>1462</v>
      </c>
      <c r="D244" s="89"/>
      <c r="E244" s="43"/>
      <c r="F244" s="14"/>
      <c r="G244" s="14"/>
      <c r="H244" s="14"/>
      <c r="I244" s="14"/>
      <c r="J244" s="14"/>
      <c r="K244" s="14"/>
      <c r="L244" s="94">
        <f t="shared" si="8"/>
        <v>0</v>
      </c>
      <c r="M244" s="96">
        <f t="shared" si="9"/>
        <v>0</v>
      </c>
      <c r="N244" s="96">
        <f t="shared" si="10"/>
        <v>0</v>
      </c>
      <c r="O244" s="35"/>
      <c r="P244" s="35"/>
      <c r="Q244" s="35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3.5" customHeight="1" x14ac:dyDescent="0.35">
      <c r="A245" s="88">
        <v>17</v>
      </c>
      <c r="B245" s="11" t="s">
        <v>1463</v>
      </c>
      <c r="C245" s="11"/>
      <c r="D245" s="89"/>
      <c r="E245" s="43"/>
      <c r="F245" s="14"/>
      <c r="G245" s="14"/>
      <c r="H245" s="14"/>
      <c r="I245" s="14"/>
      <c r="J245" s="14"/>
      <c r="K245" s="14"/>
      <c r="L245" s="94">
        <f t="shared" si="8"/>
        <v>0</v>
      </c>
      <c r="M245" s="96">
        <f t="shared" si="9"/>
        <v>0</v>
      </c>
      <c r="N245" s="96">
        <f t="shared" si="10"/>
        <v>0</v>
      </c>
      <c r="O245" s="35"/>
      <c r="P245" s="35"/>
      <c r="Q245" s="35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3.5" customHeight="1" x14ac:dyDescent="0.35">
      <c r="A246" s="88">
        <v>18</v>
      </c>
      <c r="B246" s="11" t="s">
        <v>1043</v>
      </c>
      <c r="C246" s="11"/>
      <c r="D246" s="89"/>
      <c r="E246" s="43"/>
      <c r="F246" s="14"/>
      <c r="G246" s="14"/>
      <c r="H246" s="14"/>
      <c r="I246" s="14"/>
      <c r="J246" s="14"/>
      <c r="K246" s="14"/>
      <c r="L246" s="94">
        <f t="shared" si="8"/>
        <v>0</v>
      </c>
      <c r="M246" s="96">
        <f t="shared" si="9"/>
        <v>0</v>
      </c>
      <c r="N246" s="96"/>
      <c r="O246" s="35"/>
      <c r="P246" s="35"/>
      <c r="Q246" s="35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3.5" customHeight="1" x14ac:dyDescent="0.35">
      <c r="A247" s="88"/>
      <c r="B247" s="11" t="s">
        <v>1464</v>
      </c>
      <c r="C247" s="11" t="s">
        <v>1465</v>
      </c>
      <c r="D247" s="89"/>
      <c r="E247" s="43"/>
      <c r="F247" s="14"/>
      <c r="G247" s="14"/>
      <c r="H247" s="14"/>
      <c r="I247" s="14"/>
      <c r="J247" s="14"/>
      <c r="K247" s="14"/>
      <c r="L247" s="94">
        <f t="shared" si="8"/>
        <v>0</v>
      </c>
      <c r="M247" s="96">
        <f t="shared" si="9"/>
        <v>0</v>
      </c>
      <c r="N247" s="96"/>
      <c r="O247" s="35"/>
      <c r="P247" s="35"/>
      <c r="Q247" s="35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3.5" customHeight="1" x14ac:dyDescent="0.35">
      <c r="A248" s="88">
        <v>19</v>
      </c>
      <c r="B248" s="11" t="s">
        <v>1466</v>
      </c>
      <c r="C248" s="11"/>
      <c r="D248" s="89"/>
      <c r="E248" s="43"/>
      <c r="F248" s="14"/>
      <c r="G248" s="14"/>
      <c r="H248" s="14"/>
      <c r="I248" s="14"/>
      <c r="J248" s="14"/>
      <c r="K248" s="14"/>
      <c r="L248" s="94">
        <f t="shared" si="8"/>
        <v>0</v>
      </c>
      <c r="M248" s="96">
        <f t="shared" si="9"/>
        <v>0</v>
      </c>
      <c r="N248" s="96">
        <f t="shared" ref="N248:N266" si="11">D248-M248</f>
        <v>0</v>
      </c>
      <c r="O248" s="35"/>
      <c r="P248" s="35"/>
      <c r="Q248" s="35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3.5" customHeight="1" x14ac:dyDescent="0.35">
      <c r="A249" s="88">
        <v>20</v>
      </c>
      <c r="B249" s="11" t="s">
        <v>1471</v>
      </c>
      <c r="C249" s="11" t="s">
        <v>1449</v>
      </c>
      <c r="D249" s="89"/>
      <c r="E249" s="43"/>
      <c r="F249" s="14"/>
      <c r="G249" s="14"/>
      <c r="H249" s="14"/>
      <c r="I249" s="14"/>
      <c r="J249" s="14"/>
      <c r="K249" s="14"/>
      <c r="L249" s="94">
        <f t="shared" si="8"/>
        <v>0</v>
      </c>
      <c r="M249" s="96">
        <f t="shared" si="9"/>
        <v>0</v>
      </c>
      <c r="N249" s="96">
        <f t="shared" si="11"/>
        <v>0</v>
      </c>
      <c r="O249" s="35"/>
      <c r="P249" s="35"/>
      <c r="Q249" s="35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3.5" customHeight="1" x14ac:dyDescent="0.35">
      <c r="A250" s="88">
        <v>21</v>
      </c>
      <c r="B250" s="11" t="s">
        <v>970</v>
      </c>
      <c r="C250" s="11" t="s">
        <v>1285</v>
      </c>
      <c r="D250" s="89"/>
      <c r="E250" s="43"/>
      <c r="F250" s="14"/>
      <c r="G250" s="14"/>
      <c r="H250" s="14"/>
      <c r="I250" s="14"/>
      <c r="J250" s="14"/>
      <c r="K250" s="14"/>
      <c r="L250" s="94">
        <f t="shared" si="8"/>
        <v>0</v>
      </c>
      <c r="M250" s="96">
        <f t="shared" si="9"/>
        <v>0</v>
      </c>
      <c r="N250" s="96">
        <f t="shared" si="11"/>
        <v>0</v>
      </c>
      <c r="O250" s="35"/>
      <c r="P250" s="35"/>
      <c r="Q250" s="35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3.5" customHeight="1" x14ac:dyDescent="0.35">
      <c r="A251" s="88">
        <v>22</v>
      </c>
      <c r="B251" s="11" t="s">
        <v>1034</v>
      </c>
      <c r="C251" s="11" t="s">
        <v>813</v>
      </c>
      <c r="D251" s="89"/>
      <c r="E251" s="43"/>
      <c r="F251" s="14"/>
      <c r="G251" s="14"/>
      <c r="H251" s="14"/>
      <c r="I251" s="14"/>
      <c r="J251" s="14"/>
      <c r="K251" s="14"/>
      <c r="L251" s="94">
        <f t="shared" si="8"/>
        <v>0</v>
      </c>
      <c r="M251" s="96">
        <f t="shared" si="9"/>
        <v>0</v>
      </c>
      <c r="N251" s="96">
        <f t="shared" si="11"/>
        <v>0</v>
      </c>
      <c r="O251" s="35"/>
      <c r="P251" s="35"/>
      <c r="Q251" s="35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13.5" customHeight="1" x14ac:dyDescent="0.35">
      <c r="A252" s="88">
        <v>23</v>
      </c>
      <c r="B252" s="11" t="s">
        <v>954</v>
      </c>
      <c r="C252" s="122" t="s">
        <v>1448</v>
      </c>
      <c r="D252" s="89"/>
      <c r="E252" s="43"/>
      <c r="F252" s="14"/>
      <c r="G252" s="14"/>
      <c r="H252" s="14"/>
      <c r="I252" s="14"/>
      <c r="J252" s="14"/>
      <c r="K252" s="14"/>
      <c r="L252" s="94">
        <f t="shared" si="8"/>
        <v>0</v>
      </c>
      <c r="M252" s="96">
        <f t="shared" si="9"/>
        <v>0</v>
      </c>
      <c r="N252" s="96">
        <f t="shared" si="11"/>
        <v>0</v>
      </c>
      <c r="O252" s="35"/>
      <c r="P252" s="35"/>
      <c r="Q252" s="35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13.5" customHeight="1" x14ac:dyDescent="0.35">
      <c r="A253" s="88">
        <v>24</v>
      </c>
      <c r="B253" s="11" t="s">
        <v>924</v>
      </c>
      <c r="C253" s="11" t="s">
        <v>458</v>
      </c>
      <c r="D253" s="89"/>
      <c r="E253" s="43"/>
      <c r="F253" s="14"/>
      <c r="G253" s="14"/>
      <c r="H253" s="14"/>
      <c r="I253" s="14"/>
      <c r="J253" s="14"/>
      <c r="K253" s="14"/>
      <c r="L253" s="94">
        <f t="shared" si="8"/>
        <v>0</v>
      </c>
      <c r="M253" s="96">
        <f t="shared" si="9"/>
        <v>0</v>
      </c>
      <c r="N253" s="96">
        <f t="shared" si="11"/>
        <v>0</v>
      </c>
      <c r="O253" s="35"/>
      <c r="P253" s="35"/>
      <c r="Q253" s="35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13.5" customHeight="1" x14ac:dyDescent="0.35">
      <c r="A254" s="88">
        <v>25</v>
      </c>
      <c r="B254" s="11" t="s">
        <v>1480</v>
      </c>
      <c r="C254" s="11" t="s">
        <v>1481</v>
      </c>
      <c r="D254" s="89"/>
      <c r="E254" s="43"/>
      <c r="F254" s="14"/>
      <c r="G254" s="14"/>
      <c r="H254" s="14"/>
      <c r="I254" s="14"/>
      <c r="J254" s="14"/>
      <c r="K254" s="14"/>
      <c r="L254" s="94">
        <f t="shared" si="8"/>
        <v>0</v>
      </c>
      <c r="M254" s="96">
        <f t="shared" si="9"/>
        <v>0</v>
      </c>
      <c r="N254" s="96">
        <f t="shared" si="11"/>
        <v>0</v>
      </c>
      <c r="O254" s="35"/>
      <c r="P254" s="35"/>
      <c r="Q254" s="35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13.5" customHeight="1" x14ac:dyDescent="0.35">
      <c r="A255" s="88">
        <v>26</v>
      </c>
      <c r="B255" s="11" t="s">
        <v>1482</v>
      </c>
      <c r="C255" s="122" t="s">
        <v>1448</v>
      </c>
      <c r="D255" s="366"/>
      <c r="E255" s="43"/>
      <c r="F255" s="14"/>
      <c r="G255" s="14"/>
      <c r="H255" s="14"/>
      <c r="I255" s="14"/>
      <c r="J255" s="14"/>
      <c r="K255" s="14"/>
      <c r="L255" s="94">
        <f t="shared" si="8"/>
        <v>0</v>
      </c>
      <c r="M255" s="96">
        <f t="shared" si="9"/>
        <v>0</v>
      </c>
      <c r="N255" s="96">
        <f t="shared" si="11"/>
        <v>0</v>
      </c>
      <c r="O255" s="35"/>
      <c r="P255" s="35"/>
      <c r="Q255" s="35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13.5" customHeight="1" x14ac:dyDescent="0.35">
      <c r="A256" s="88">
        <v>27</v>
      </c>
      <c r="B256" s="11" t="s">
        <v>949</v>
      </c>
      <c r="C256" s="11" t="s">
        <v>1483</v>
      </c>
      <c r="D256" s="366"/>
      <c r="E256" s="211"/>
      <c r="F256" s="120"/>
      <c r="G256" s="120"/>
      <c r="H256" s="120"/>
      <c r="I256" s="120"/>
      <c r="J256" s="120"/>
      <c r="K256" s="120"/>
      <c r="L256" s="94">
        <f t="shared" si="8"/>
        <v>0</v>
      </c>
      <c r="M256" s="96">
        <f t="shared" si="9"/>
        <v>0</v>
      </c>
      <c r="N256" s="96">
        <f t="shared" si="11"/>
        <v>0</v>
      </c>
      <c r="O256" s="35"/>
      <c r="P256" s="35"/>
      <c r="Q256" s="35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13.5" customHeight="1" x14ac:dyDescent="0.35">
      <c r="A257" s="88">
        <v>28</v>
      </c>
      <c r="B257" s="11" t="s">
        <v>1005</v>
      </c>
      <c r="C257" s="11" t="s">
        <v>1485</v>
      </c>
      <c r="D257" s="89"/>
      <c r="E257" s="43"/>
      <c r="F257" s="14"/>
      <c r="G257" s="14"/>
      <c r="H257" s="14"/>
      <c r="I257" s="14"/>
      <c r="J257" s="14"/>
      <c r="K257" s="14"/>
      <c r="L257" s="94">
        <f t="shared" si="8"/>
        <v>0</v>
      </c>
      <c r="M257" s="96">
        <f t="shared" si="9"/>
        <v>0</v>
      </c>
      <c r="N257" s="96">
        <f t="shared" si="11"/>
        <v>0</v>
      </c>
      <c r="O257" s="35"/>
      <c r="P257" s="35"/>
      <c r="Q257" s="35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13.5" customHeight="1" x14ac:dyDescent="0.35">
      <c r="A258" s="88">
        <v>29</v>
      </c>
      <c r="B258" s="11" t="s">
        <v>1486</v>
      </c>
      <c r="C258" s="11" t="s">
        <v>1487</v>
      </c>
      <c r="D258" s="89"/>
      <c r="E258" s="43"/>
      <c r="F258" s="14"/>
      <c r="G258" s="14"/>
      <c r="H258" s="14"/>
      <c r="I258" s="14"/>
      <c r="J258" s="14"/>
      <c r="K258" s="14"/>
      <c r="L258" s="94">
        <f t="shared" si="8"/>
        <v>0</v>
      </c>
      <c r="M258" s="96">
        <f t="shared" si="9"/>
        <v>0</v>
      </c>
      <c r="N258" s="96">
        <f t="shared" si="11"/>
        <v>0</v>
      </c>
      <c r="O258" s="35"/>
      <c r="P258" s="35"/>
      <c r="Q258" s="35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13.5" customHeight="1" x14ac:dyDescent="0.35">
      <c r="A259" s="88">
        <v>30</v>
      </c>
      <c r="B259" s="11" t="s">
        <v>1488</v>
      </c>
      <c r="C259" s="11" t="s">
        <v>1485</v>
      </c>
      <c r="D259" s="89"/>
      <c r="E259" s="43"/>
      <c r="F259" s="14"/>
      <c r="G259" s="14"/>
      <c r="H259" s="14"/>
      <c r="I259" s="14"/>
      <c r="J259" s="14"/>
      <c r="K259" s="14"/>
      <c r="L259" s="94">
        <f t="shared" si="8"/>
        <v>0</v>
      </c>
      <c r="M259" s="96">
        <f t="shared" si="9"/>
        <v>0</v>
      </c>
      <c r="N259" s="96">
        <f t="shared" si="11"/>
        <v>0</v>
      </c>
      <c r="O259" s="35"/>
      <c r="P259" s="35"/>
      <c r="Q259" s="35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13.5" customHeight="1" x14ac:dyDescent="0.35">
      <c r="A260" s="88">
        <v>31</v>
      </c>
      <c r="B260" s="11" t="s">
        <v>1490</v>
      </c>
      <c r="C260" s="11" t="s">
        <v>1448</v>
      </c>
      <c r="D260" s="89"/>
      <c r="E260" s="43"/>
      <c r="F260" s="14"/>
      <c r="G260" s="14"/>
      <c r="H260" s="14"/>
      <c r="I260" s="14"/>
      <c r="J260" s="14"/>
      <c r="K260" s="14"/>
      <c r="L260" s="94">
        <f t="shared" si="8"/>
        <v>0</v>
      </c>
      <c r="M260" s="96">
        <f t="shared" si="9"/>
        <v>0</v>
      </c>
      <c r="N260" s="96">
        <f t="shared" si="11"/>
        <v>0</v>
      </c>
      <c r="O260" s="35"/>
      <c r="P260" s="35"/>
      <c r="Q260" s="35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13.5" customHeight="1" x14ac:dyDescent="0.35">
      <c r="A261" s="88">
        <v>32</v>
      </c>
      <c r="B261" s="11" t="s">
        <v>1492</v>
      </c>
      <c r="C261" s="11"/>
      <c r="D261" s="89"/>
      <c r="E261" s="43"/>
      <c r="F261" s="14"/>
      <c r="G261" s="14"/>
      <c r="H261" s="14"/>
      <c r="I261" s="14"/>
      <c r="J261" s="14"/>
      <c r="K261" s="14"/>
      <c r="L261" s="94">
        <f t="shared" si="8"/>
        <v>0</v>
      </c>
      <c r="M261" s="96">
        <f t="shared" si="9"/>
        <v>0</v>
      </c>
      <c r="N261" s="96">
        <f t="shared" si="11"/>
        <v>0</v>
      </c>
      <c r="O261" s="35"/>
      <c r="P261" s="35"/>
      <c r="Q261" s="35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13.5" customHeight="1" x14ac:dyDescent="0.35">
      <c r="A262" s="88">
        <v>33</v>
      </c>
      <c r="B262" s="11" t="s">
        <v>1015</v>
      </c>
      <c r="C262" s="11" t="s">
        <v>813</v>
      </c>
      <c r="D262" s="89"/>
      <c r="E262" s="43"/>
      <c r="F262" s="14"/>
      <c r="G262" s="14"/>
      <c r="H262" s="14"/>
      <c r="I262" s="14"/>
      <c r="J262" s="14"/>
      <c r="K262" s="14"/>
      <c r="L262" s="94">
        <f t="shared" si="8"/>
        <v>0</v>
      </c>
      <c r="M262" s="96">
        <f t="shared" si="9"/>
        <v>0</v>
      </c>
      <c r="N262" s="96">
        <f t="shared" si="11"/>
        <v>0</v>
      </c>
      <c r="O262" s="35"/>
      <c r="P262" s="35"/>
      <c r="Q262" s="35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13.5" customHeight="1" x14ac:dyDescent="0.35">
      <c r="A263" s="88">
        <v>34</v>
      </c>
      <c r="B263" s="11" t="s">
        <v>1027</v>
      </c>
      <c r="C263" s="11" t="s">
        <v>1494</v>
      </c>
      <c r="D263" s="89"/>
      <c r="E263" s="43"/>
      <c r="F263" s="14"/>
      <c r="G263" s="14"/>
      <c r="H263" s="14"/>
      <c r="I263" s="14"/>
      <c r="J263" s="14"/>
      <c r="K263" s="14"/>
      <c r="L263" s="94">
        <f t="shared" si="8"/>
        <v>0</v>
      </c>
      <c r="M263" s="96">
        <f t="shared" si="9"/>
        <v>0</v>
      </c>
      <c r="N263" s="96">
        <f t="shared" si="11"/>
        <v>0</v>
      </c>
      <c r="O263" s="35"/>
      <c r="P263" s="35"/>
      <c r="Q263" s="35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13.5" customHeight="1" x14ac:dyDescent="0.35">
      <c r="A264" s="88">
        <v>35</v>
      </c>
      <c r="B264" s="11" t="s">
        <v>1018</v>
      </c>
      <c r="C264" s="11" t="s">
        <v>1494</v>
      </c>
      <c r="D264" s="89"/>
      <c r="E264" s="43"/>
      <c r="F264" s="14"/>
      <c r="G264" s="14"/>
      <c r="H264" s="14"/>
      <c r="I264" s="14"/>
      <c r="J264" s="14"/>
      <c r="K264" s="14"/>
      <c r="L264" s="94">
        <f t="shared" si="8"/>
        <v>0</v>
      </c>
      <c r="M264" s="96">
        <f t="shared" si="9"/>
        <v>0</v>
      </c>
      <c r="N264" s="96">
        <f t="shared" si="11"/>
        <v>0</v>
      </c>
      <c r="O264" s="35"/>
      <c r="P264" s="35"/>
      <c r="Q264" s="35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13.5" customHeight="1" x14ac:dyDescent="0.35">
      <c r="A265" s="88">
        <v>36</v>
      </c>
      <c r="B265" s="11" t="s">
        <v>1496</v>
      </c>
      <c r="C265" s="11" t="s">
        <v>813</v>
      </c>
      <c r="D265" s="89"/>
      <c r="E265" s="43"/>
      <c r="F265" s="14"/>
      <c r="G265" s="14"/>
      <c r="H265" s="14"/>
      <c r="I265" s="14"/>
      <c r="J265" s="14"/>
      <c r="K265" s="14"/>
      <c r="L265" s="94">
        <f t="shared" si="8"/>
        <v>0</v>
      </c>
      <c r="M265" s="96">
        <f t="shared" si="9"/>
        <v>0</v>
      </c>
      <c r="N265" s="96">
        <f t="shared" si="11"/>
        <v>0</v>
      </c>
      <c r="O265" s="35"/>
      <c r="P265" s="35"/>
      <c r="Q265" s="35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13.5" customHeight="1" x14ac:dyDescent="0.35">
      <c r="A266" s="88">
        <v>37</v>
      </c>
      <c r="B266" s="11" t="s">
        <v>959</v>
      </c>
      <c r="C266" s="122" t="s">
        <v>1448</v>
      </c>
      <c r="D266" s="89"/>
      <c r="E266" s="43"/>
      <c r="F266" s="14"/>
      <c r="G266" s="14"/>
      <c r="H266" s="14"/>
      <c r="I266" s="14"/>
      <c r="J266" s="14"/>
      <c r="K266" s="14"/>
      <c r="L266" s="94">
        <f t="shared" si="8"/>
        <v>0</v>
      </c>
      <c r="M266" s="96">
        <f t="shared" si="9"/>
        <v>0</v>
      </c>
      <c r="N266" s="96">
        <f t="shared" si="11"/>
        <v>0</v>
      </c>
      <c r="O266" s="35"/>
      <c r="P266" s="35"/>
      <c r="Q266" s="35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13.5" customHeight="1" x14ac:dyDescent="0.35">
      <c r="A267" s="88">
        <v>38</v>
      </c>
      <c r="B267" s="11" t="s">
        <v>1046</v>
      </c>
      <c r="C267" s="122"/>
      <c r="D267" s="89"/>
      <c r="E267" s="43"/>
      <c r="F267" s="14"/>
      <c r="G267" s="14"/>
      <c r="H267" s="14"/>
      <c r="I267" s="14"/>
      <c r="J267" s="14"/>
      <c r="K267" s="14"/>
      <c r="L267" s="94">
        <f t="shared" si="8"/>
        <v>0</v>
      </c>
      <c r="M267" s="96">
        <f t="shared" si="9"/>
        <v>0</v>
      </c>
      <c r="N267" s="96"/>
      <c r="O267" s="35"/>
      <c r="P267" s="35"/>
      <c r="Q267" s="35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13.5" customHeight="1" x14ac:dyDescent="0.35">
      <c r="A268" s="88">
        <v>39</v>
      </c>
      <c r="B268" s="11" t="s">
        <v>1498</v>
      </c>
      <c r="C268" s="11" t="s">
        <v>1499</v>
      </c>
      <c r="D268" s="89"/>
      <c r="E268" s="14"/>
      <c r="F268" s="14"/>
      <c r="G268" s="14"/>
      <c r="H268" s="14"/>
      <c r="I268" s="14"/>
      <c r="J268" s="14"/>
      <c r="K268" s="14"/>
      <c r="L268" s="94">
        <f t="shared" si="8"/>
        <v>0</v>
      </c>
      <c r="M268" s="96">
        <f t="shared" si="9"/>
        <v>0</v>
      </c>
      <c r="N268" s="96">
        <f t="shared" ref="N268:N273" si="12">D268-M268</f>
        <v>0</v>
      </c>
      <c r="O268" s="35"/>
      <c r="P268" s="35"/>
      <c r="Q268" s="35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13.5" customHeight="1" x14ac:dyDescent="0.35">
      <c r="A269" s="88">
        <v>40</v>
      </c>
      <c r="B269" s="11" t="s">
        <v>947</v>
      </c>
      <c r="C269" s="11" t="s">
        <v>1285</v>
      </c>
      <c r="D269" s="89"/>
      <c r="E269" s="43"/>
      <c r="F269" s="14"/>
      <c r="G269" s="14"/>
      <c r="H269" s="14"/>
      <c r="I269" s="14"/>
      <c r="J269" s="14"/>
      <c r="K269" s="14"/>
      <c r="L269" s="94">
        <f t="shared" si="8"/>
        <v>0</v>
      </c>
      <c r="M269" s="96">
        <f t="shared" si="9"/>
        <v>0</v>
      </c>
      <c r="N269" s="96">
        <f t="shared" si="12"/>
        <v>0</v>
      </c>
      <c r="O269" s="35"/>
      <c r="P269" s="35"/>
      <c r="Q269" s="35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13.5" customHeight="1" x14ac:dyDescent="0.35">
      <c r="A270" s="88">
        <v>41</v>
      </c>
      <c r="B270" s="11" t="s">
        <v>1008</v>
      </c>
      <c r="C270" s="11" t="s">
        <v>1448</v>
      </c>
      <c r="D270" s="89"/>
      <c r="E270" s="43"/>
      <c r="F270" s="14"/>
      <c r="G270" s="14"/>
      <c r="H270" s="14"/>
      <c r="I270" s="14"/>
      <c r="J270" s="14"/>
      <c r="K270" s="14"/>
      <c r="L270" s="94">
        <f t="shared" si="8"/>
        <v>0</v>
      </c>
      <c r="M270" s="96">
        <f t="shared" si="9"/>
        <v>0</v>
      </c>
      <c r="N270" s="96">
        <f t="shared" si="12"/>
        <v>0</v>
      </c>
      <c r="O270" s="35"/>
      <c r="P270" s="35"/>
      <c r="Q270" s="35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13.5" customHeight="1" x14ac:dyDescent="0.35">
      <c r="A271" s="88">
        <v>42</v>
      </c>
      <c r="B271" s="11" t="s">
        <v>982</v>
      </c>
      <c r="C271" s="11" t="s">
        <v>1483</v>
      </c>
      <c r="D271" s="89"/>
      <c r="E271" s="90"/>
      <c r="F271" s="120"/>
      <c r="G271" s="120"/>
      <c r="H271" s="120"/>
      <c r="I271" s="120"/>
      <c r="J271" s="120"/>
      <c r="K271" s="120"/>
      <c r="L271" s="94">
        <f t="shared" si="8"/>
        <v>0</v>
      </c>
      <c r="M271" s="96">
        <f t="shared" si="9"/>
        <v>0</v>
      </c>
      <c r="N271" s="96">
        <f t="shared" si="12"/>
        <v>0</v>
      </c>
      <c r="O271" s="35"/>
      <c r="P271" s="35"/>
      <c r="Q271" s="35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13.5" customHeight="1" x14ac:dyDescent="0.35">
      <c r="A272" s="88">
        <v>43</v>
      </c>
      <c r="B272" s="11" t="s">
        <v>976</v>
      </c>
      <c r="C272" s="122" t="s">
        <v>1448</v>
      </c>
      <c r="D272" s="89"/>
      <c r="E272" s="43"/>
      <c r="F272" s="14"/>
      <c r="G272" s="14"/>
      <c r="H272" s="14"/>
      <c r="I272" s="14"/>
      <c r="J272" s="14"/>
      <c r="K272" s="14"/>
      <c r="L272" s="94">
        <f t="shared" si="8"/>
        <v>0</v>
      </c>
      <c r="M272" s="96">
        <f t="shared" si="9"/>
        <v>0</v>
      </c>
      <c r="N272" s="96">
        <f t="shared" si="12"/>
        <v>0</v>
      </c>
      <c r="O272" s="35"/>
      <c r="P272" s="35"/>
      <c r="Q272" s="35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13.5" customHeight="1" x14ac:dyDescent="0.35">
      <c r="A273" s="88">
        <v>44</v>
      </c>
      <c r="B273" s="11" t="s">
        <v>909</v>
      </c>
      <c r="C273" s="11" t="s">
        <v>1505</v>
      </c>
      <c r="D273" s="89"/>
      <c r="E273" s="43"/>
      <c r="F273" s="14"/>
      <c r="G273" s="14"/>
      <c r="H273" s="14"/>
      <c r="I273" s="14"/>
      <c r="J273" s="14"/>
      <c r="K273" s="14"/>
      <c r="L273" s="94">
        <f t="shared" si="8"/>
        <v>0</v>
      </c>
      <c r="M273" s="96">
        <f t="shared" si="9"/>
        <v>0</v>
      </c>
      <c r="N273" s="96">
        <f t="shared" si="12"/>
        <v>0</v>
      </c>
      <c r="O273" s="35"/>
      <c r="P273" s="35"/>
      <c r="Q273" s="35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13.5" customHeight="1" x14ac:dyDescent="0.35">
      <c r="A274" s="88"/>
      <c r="B274" s="11" t="s">
        <v>1060</v>
      </c>
      <c r="C274" s="11" t="s">
        <v>1465</v>
      </c>
      <c r="D274" s="89"/>
      <c r="E274" s="43"/>
      <c r="F274" s="14"/>
      <c r="G274" s="14"/>
      <c r="H274" s="14"/>
      <c r="I274" s="14"/>
      <c r="J274" s="14"/>
      <c r="K274" s="14"/>
      <c r="L274" s="94">
        <f t="shared" si="8"/>
        <v>0</v>
      </c>
      <c r="M274" s="96">
        <f t="shared" si="9"/>
        <v>0</v>
      </c>
      <c r="N274" s="96"/>
      <c r="O274" s="35"/>
      <c r="P274" s="35"/>
      <c r="Q274" s="35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13.5" customHeight="1" x14ac:dyDescent="0.35">
      <c r="A275" s="88">
        <v>45</v>
      </c>
      <c r="B275" s="11" t="s">
        <v>1029</v>
      </c>
      <c r="C275" s="11" t="s">
        <v>813</v>
      </c>
      <c r="D275" s="89"/>
      <c r="E275" s="43"/>
      <c r="F275" s="14"/>
      <c r="G275" s="14"/>
      <c r="H275" s="14"/>
      <c r="I275" s="14"/>
      <c r="J275" s="14"/>
      <c r="K275" s="14"/>
      <c r="L275" s="94">
        <f t="shared" si="8"/>
        <v>0</v>
      </c>
      <c r="M275" s="96">
        <f t="shared" si="9"/>
        <v>0</v>
      </c>
      <c r="N275" s="96">
        <f t="shared" ref="N275:N281" si="13">D275-M275</f>
        <v>0</v>
      </c>
      <c r="O275" s="35"/>
      <c r="P275" s="35"/>
      <c r="Q275" s="35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13.5" customHeight="1" x14ac:dyDescent="0.35">
      <c r="A276" s="88">
        <v>46</v>
      </c>
      <c r="B276" s="11" t="s">
        <v>1032</v>
      </c>
      <c r="C276" s="11" t="s">
        <v>1494</v>
      </c>
      <c r="D276" s="89"/>
      <c r="E276" s="43"/>
      <c r="F276" s="14"/>
      <c r="G276" s="14"/>
      <c r="H276" s="14"/>
      <c r="I276" s="14"/>
      <c r="J276" s="14"/>
      <c r="K276" s="14"/>
      <c r="L276" s="94">
        <f t="shared" si="8"/>
        <v>0</v>
      </c>
      <c r="M276" s="96">
        <f t="shared" si="9"/>
        <v>0</v>
      </c>
      <c r="N276" s="96">
        <f t="shared" si="13"/>
        <v>0</v>
      </c>
      <c r="O276" s="35"/>
      <c r="P276" s="35"/>
      <c r="Q276" s="35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13.5" customHeight="1" x14ac:dyDescent="0.35">
      <c r="A277" s="88">
        <v>47</v>
      </c>
      <c r="B277" s="11" t="s">
        <v>996</v>
      </c>
      <c r="C277" s="11" t="s">
        <v>1285</v>
      </c>
      <c r="D277" s="89"/>
      <c r="E277" s="43"/>
      <c r="F277" s="14"/>
      <c r="G277" s="14"/>
      <c r="H277" s="14"/>
      <c r="I277" s="14"/>
      <c r="J277" s="14"/>
      <c r="K277" s="14"/>
      <c r="L277" s="94">
        <f t="shared" si="8"/>
        <v>0</v>
      </c>
      <c r="M277" s="96">
        <f t="shared" si="9"/>
        <v>0</v>
      </c>
      <c r="N277" s="96">
        <f t="shared" si="13"/>
        <v>0</v>
      </c>
      <c r="O277" s="35"/>
      <c r="P277" s="35"/>
      <c r="Q277" s="35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13.5" customHeight="1" x14ac:dyDescent="0.35">
      <c r="A278" s="88">
        <v>48</v>
      </c>
      <c r="B278" s="11" t="s">
        <v>1508</v>
      </c>
      <c r="C278" s="11" t="s">
        <v>1285</v>
      </c>
      <c r="D278" s="89"/>
      <c r="E278" s="43"/>
      <c r="F278" s="14"/>
      <c r="G278" s="14"/>
      <c r="H278" s="14"/>
      <c r="I278" s="14"/>
      <c r="J278" s="14"/>
      <c r="K278" s="14"/>
      <c r="L278" s="94">
        <f t="shared" si="8"/>
        <v>0</v>
      </c>
      <c r="M278" s="96">
        <f t="shared" si="9"/>
        <v>0</v>
      </c>
      <c r="N278" s="96">
        <f t="shared" si="13"/>
        <v>0</v>
      </c>
      <c r="O278" s="35"/>
      <c r="P278" s="35"/>
      <c r="Q278" s="35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13.5" customHeight="1" x14ac:dyDescent="0.35">
      <c r="A279" s="88">
        <v>49</v>
      </c>
      <c r="B279" s="11" t="s">
        <v>1509</v>
      </c>
      <c r="C279" s="122" t="s">
        <v>1510</v>
      </c>
      <c r="D279" s="89"/>
      <c r="E279" s="43"/>
      <c r="F279" s="14"/>
      <c r="G279" s="14"/>
      <c r="H279" s="14"/>
      <c r="I279" s="14"/>
      <c r="J279" s="14"/>
      <c r="K279" s="14"/>
      <c r="L279" s="94">
        <f t="shared" si="8"/>
        <v>0</v>
      </c>
      <c r="M279" s="96">
        <f t="shared" si="9"/>
        <v>0</v>
      </c>
      <c r="N279" s="96">
        <f t="shared" si="13"/>
        <v>0</v>
      </c>
      <c r="O279" s="35"/>
      <c r="P279" s="35"/>
      <c r="Q279" s="35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13.5" customHeight="1" x14ac:dyDescent="0.35">
      <c r="A280" s="88">
        <v>50</v>
      </c>
      <c r="B280" s="11" t="s">
        <v>1039</v>
      </c>
      <c r="C280" s="122"/>
      <c r="D280" s="89"/>
      <c r="E280" s="43"/>
      <c r="F280" s="14"/>
      <c r="G280" s="14"/>
      <c r="H280" s="14"/>
      <c r="I280" s="14"/>
      <c r="J280" s="14"/>
      <c r="K280" s="14"/>
      <c r="L280" s="94">
        <f t="shared" si="8"/>
        <v>0</v>
      </c>
      <c r="M280" s="96">
        <f t="shared" si="9"/>
        <v>0</v>
      </c>
      <c r="N280" s="96">
        <f t="shared" si="13"/>
        <v>0</v>
      </c>
      <c r="O280" s="35"/>
      <c r="P280" s="35"/>
      <c r="Q280" s="35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13.5" customHeight="1" x14ac:dyDescent="0.35">
      <c r="A281" s="88">
        <v>51</v>
      </c>
      <c r="B281" s="11" t="s">
        <v>989</v>
      </c>
      <c r="C281" s="11" t="s">
        <v>1449</v>
      </c>
      <c r="D281" s="89"/>
      <c r="E281" s="43"/>
      <c r="F281" s="14"/>
      <c r="G281" s="14"/>
      <c r="H281" s="14"/>
      <c r="I281" s="14"/>
      <c r="J281" s="14"/>
      <c r="K281" s="14"/>
      <c r="L281" s="94">
        <f t="shared" si="8"/>
        <v>0</v>
      </c>
      <c r="M281" s="96">
        <f t="shared" si="9"/>
        <v>0</v>
      </c>
      <c r="N281" s="96">
        <f t="shared" si="13"/>
        <v>0</v>
      </c>
      <c r="O281" s="35"/>
      <c r="P281" s="35"/>
      <c r="Q281" s="35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18.75" customHeight="1" x14ac:dyDescent="0.35">
      <c r="A282" s="349"/>
      <c r="B282" s="350" t="s">
        <v>620</v>
      </c>
      <c r="C282" s="392"/>
      <c r="D282" s="421"/>
      <c r="E282" s="394"/>
      <c r="F282" s="394"/>
      <c r="G282" s="394"/>
      <c r="H282" s="394"/>
      <c r="I282" s="394"/>
      <c r="J282" s="394"/>
      <c r="K282" s="394"/>
      <c r="L282" s="422">
        <f t="shared" ref="D282:M282" si="14">SUM(L230:L281)</f>
        <v>0</v>
      </c>
      <c r="M282" s="423">
        <f t="shared" si="14"/>
        <v>0</v>
      </c>
      <c r="N282" s="357"/>
      <c r="O282" s="35"/>
      <c r="P282" s="35"/>
      <c r="Q282" s="35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13.5" customHeight="1" x14ac:dyDescent="0.35">
      <c r="A283" s="88"/>
      <c r="B283" s="99"/>
      <c r="C283" s="11"/>
      <c r="D283" s="11"/>
      <c r="E283" s="14"/>
      <c r="F283" s="14"/>
      <c r="G283" s="14"/>
      <c r="H283" s="14"/>
      <c r="I283" s="14"/>
      <c r="J283" s="14"/>
      <c r="K283" s="14"/>
      <c r="L283" s="94"/>
      <c r="M283" s="96"/>
      <c r="N283" s="96"/>
      <c r="O283" s="35"/>
      <c r="P283" s="35"/>
      <c r="Q283" s="35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13.5" customHeight="1" x14ac:dyDescent="0.35">
      <c r="A284" s="424"/>
      <c r="B284" s="360" t="s">
        <v>1072</v>
      </c>
      <c r="C284" s="426"/>
      <c r="D284" s="426"/>
      <c r="E284" s="427"/>
      <c r="F284" s="427"/>
      <c r="G284" s="427"/>
      <c r="H284" s="427"/>
      <c r="I284" s="427"/>
      <c r="J284" s="427"/>
      <c r="K284" s="427"/>
      <c r="L284" s="428"/>
      <c r="M284" s="429"/>
      <c r="N284" s="429"/>
      <c r="O284" s="35"/>
      <c r="P284" s="35"/>
      <c r="Q284" s="35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15.75" customHeight="1" x14ac:dyDescent="0.35">
      <c r="A285" s="88">
        <v>1</v>
      </c>
      <c r="B285" s="11" t="s">
        <v>1090</v>
      </c>
      <c r="C285" s="122"/>
      <c r="D285" s="430"/>
      <c r="E285" s="120"/>
      <c r="F285" s="14"/>
      <c r="G285" s="14"/>
      <c r="H285" s="14"/>
      <c r="I285" s="14"/>
      <c r="J285" s="14"/>
      <c r="K285" s="14"/>
      <c r="L285" s="94">
        <f t="shared" ref="L285:L296" si="15">D285-E285-F285-G285-H285-I285-J285-K285</f>
        <v>0</v>
      </c>
      <c r="M285" s="96">
        <f t="shared" ref="M285:M296" si="16">E285+F285+G285+H285+I285+J285+K285+L285</f>
        <v>0</v>
      </c>
      <c r="N285" s="96">
        <f t="shared" ref="N285:N296" si="17">D285-M285</f>
        <v>0</v>
      </c>
      <c r="O285" s="35"/>
      <c r="P285" s="35"/>
      <c r="Q285" s="35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15.75" customHeight="1" x14ac:dyDescent="0.35">
      <c r="A286" s="88">
        <v>2</v>
      </c>
      <c r="B286" s="11" t="s">
        <v>1511</v>
      </c>
      <c r="C286" s="122"/>
      <c r="D286" s="430"/>
      <c r="E286" s="14"/>
      <c r="F286" s="14"/>
      <c r="G286" s="14"/>
      <c r="H286" s="14"/>
      <c r="I286" s="14"/>
      <c r="J286" s="14"/>
      <c r="K286" s="14"/>
      <c r="L286" s="94">
        <f t="shared" si="15"/>
        <v>0</v>
      </c>
      <c r="M286" s="96">
        <f t="shared" si="16"/>
        <v>0</v>
      </c>
      <c r="N286" s="96">
        <f t="shared" si="17"/>
        <v>0</v>
      </c>
      <c r="O286" s="35"/>
      <c r="P286" s="35"/>
      <c r="Q286" s="35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13.5" customHeight="1" x14ac:dyDescent="0.35">
      <c r="A287" s="88">
        <v>3</v>
      </c>
      <c r="B287" s="11" t="s">
        <v>1512</v>
      </c>
      <c r="C287" s="122"/>
      <c r="D287" s="430"/>
      <c r="E287" s="14"/>
      <c r="F287" s="14"/>
      <c r="G287" s="14"/>
      <c r="H287" s="14"/>
      <c r="I287" s="14"/>
      <c r="J287" s="14"/>
      <c r="K287" s="14"/>
      <c r="L287" s="94">
        <f t="shared" si="15"/>
        <v>0</v>
      </c>
      <c r="M287" s="96">
        <f t="shared" si="16"/>
        <v>0</v>
      </c>
      <c r="N287" s="96">
        <f t="shared" si="17"/>
        <v>0</v>
      </c>
      <c r="O287" s="35"/>
      <c r="P287" s="35"/>
      <c r="Q287" s="35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13.5" customHeight="1" x14ac:dyDescent="0.35">
      <c r="A288" s="88">
        <v>4</v>
      </c>
      <c r="B288" s="11" t="s">
        <v>1513</v>
      </c>
      <c r="C288" s="122"/>
      <c r="D288" s="430"/>
      <c r="E288" s="14"/>
      <c r="F288" s="14"/>
      <c r="G288" s="14"/>
      <c r="H288" s="14"/>
      <c r="I288" s="14"/>
      <c r="J288" s="14"/>
      <c r="K288" s="14"/>
      <c r="L288" s="94">
        <f t="shared" si="15"/>
        <v>0</v>
      </c>
      <c r="M288" s="96">
        <f t="shared" si="16"/>
        <v>0</v>
      </c>
      <c r="N288" s="96">
        <f t="shared" si="17"/>
        <v>0</v>
      </c>
      <c r="O288" s="35"/>
      <c r="P288" s="35"/>
      <c r="Q288" s="35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13.5" customHeight="1" x14ac:dyDescent="0.35">
      <c r="A289" s="88">
        <v>5</v>
      </c>
      <c r="B289" s="11" t="s">
        <v>1514</v>
      </c>
      <c r="C289" s="122" t="s">
        <v>195</v>
      </c>
      <c r="D289" s="430"/>
      <c r="E289" s="14"/>
      <c r="F289" s="14"/>
      <c r="G289" s="14"/>
      <c r="H289" s="14"/>
      <c r="I289" s="14"/>
      <c r="J289" s="14"/>
      <c r="K289" s="14"/>
      <c r="L289" s="94">
        <f t="shared" si="15"/>
        <v>0</v>
      </c>
      <c r="M289" s="96">
        <f t="shared" si="16"/>
        <v>0</v>
      </c>
      <c r="N289" s="96">
        <f t="shared" si="17"/>
        <v>0</v>
      </c>
      <c r="O289" s="35"/>
      <c r="P289" s="35"/>
      <c r="Q289" s="35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13.5" customHeight="1" x14ac:dyDescent="0.35">
      <c r="A290" s="88">
        <v>6</v>
      </c>
      <c r="B290" s="11" t="s">
        <v>1117</v>
      </c>
      <c r="C290" s="122" t="s">
        <v>1515</v>
      </c>
      <c r="D290" s="430"/>
      <c r="E290" s="14"/>
      <c r="F290" s="14"/>
      <c r="G290" s="14"/>
      <c r="H290" s="14"/>
      <c r="I290" s="14"/>
      <c r="J290" s="14"/>
      <c r="K290" s="14"/>
      <c r="L290" s="94">
        <f t="shared" si="15"/>
        <v>0</v>
      </c>
      <c r="M290" s="96">
        <f t="shared" si="16"/>
        <v>0</v>
      </c>
      <c r="N290" s="96">
        <f t="shared" si="17"/>
        <v>0</v>
      </c>
      <c r="O290" s="35"/>
      <c r="P290" s="35"/>
      <c r="Q290" s="35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13.5" customHeight="1" x14ac:dyDescent="0.35">
      <c r="A291" s="88">
        <v>7</v>
      </c>
      <c r="B291" s="11" t="s">
        <v>1517</v>
      </c>
      <c r="C291" s="431" t="s">
        <v>195</v>
      </c>
      <c r="D291" s="430"/>
      <c r="E291" s="432"/>
      <c r="F291" s="14"/>
      <c r="G291" s="14"/>
      <c r="H291" s="14"/>
      <c r="I291" s="14"/>
      <c r="J291" s="14"/>
      <c r="K291" s="14"/>
      <c r="L291" s="94">
        <f t="shared" si="15"/>
        <v>0</v>
      </c>
      <c r="M291" s="96">
        <f t="shared" si="16"/>
        <v>0</v>
      </c>
      <c r="N291" s="96">
        <f t="shared" si="17"/>
        <v>0</v>
      </c>
      <c r="O291" s="35"/>
      <c r="P291" s="35"/>
      <c r="Q291" s="35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13.5" customHeight="1" x14ac:dyDescent="0.35">
      <c r="A292" s="88">
        <v>8</v>
      </c>
      <c r="B292" s="101" t="s">
        <v>1518</v>
      </c>
      <c r="C292" s="101" t="s">
        <v>195</v>
      </c>
      <c r="D292" s="430"/>
      <c r="E292" s="43"/>
      <c r="F292" s="14"/>
      <c r="G292" s="14"/>
      <c r="H292" s="14"/>
      <c r="I292" s="14"/>
      <c r="J292" s="14"/>
      <c r="K292" s="14"/>
      <c r="L292" s="94">
        <f t="shared" si="15"/>
        <v>0</v>
      </c>
      <c r="M292" s="96">
        <f t="shared" si="16"/>
        <v>0</v>
      </c>
      <c r="N292" s="96">
        <f t="shared" si="17"/>
        <v>0</v>
      </c>
      <c r="O292" s="35"/>
      <c r="P292" s="35"/>
      <c r="Q292" s="35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13.5" customHeight="1" x14ac:dyDescent="0.35">
      <c r="A293" s="88">
        <v>9</v>
      </c>
      <c r="B293" s="11" t="s">
        <v>1105</v>
      </c>
      <c r="C293" s="122"/>
      <c r="D293" s="430"/>
      <c r="E293" s="120"/>
      <c r="F293" s="14"/>
      <c r="G293" s="14"/>
      <c r="H293" s="14"/>
      <c r="I293" s="14"/>
      <c r="J293" s="14"/>
      <c r="K293" s="14"/>
      <c r="L293" s="94">
        <f t="shared" si="15"/>
        <v>0</v>
      </c>
      <c r="M293" s="96">
        <f t="shared" si="16"/>
        <v>0</v>
      </c>
      <c r="N293" s="96">
        <f t="shared" si="17"/>
        <v>0</v>
      </c>
      <c r="O293" s="35"/>
      <c r="P293" s="35"/>
      <c r="Q293" s="35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13.5" customHeight="1" x14ac:dyDescent="0.35">
      <c r="A294" s="88">
        <v>10</v>
      </c>
      <c r="B294" s="11" t="s">
        <v>1519</v>
      </c>
      <c r="C294" s="122"/>
      <c r="D294" s="430"/>
      <c r="E294" s="120"/>
      <c r="F294" s="14"/>
      <c r="G294" s="14"/>
      <c r="H294" s="14"/>
      <c r="I294" s="14"/>
      <c r="J294" s="14"/>
      <c r="K294" s="14"/>
      <c r="L294" s="94">
        <f t="shared" si="15"/>
        <v>0</v>
      </c>
      <c r="M294" s="96">
        <f t="shared" si="16"/>
        <v>0</v>
      </c>
      <c r="N294" s="96">
        <f t="shared" si="17"/>
        <v>0</v>
      </c>
      <c r="O294" s="35"/>
      <c r="P294" s="35"/>
      <c r="Q294" s="35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13.5" customHeight="1" x14ac:dyDescent="0.35">
      <c r="A295" s="88">
        <v>11</v>
      </c>
      <c r="B295" s="11" t="s">
        <v>1119</v>
      </c>
      <c r="C295" s="122"/>
      <c r="D295" s="430"/>
      <c r="E295" s="14"/>
      <c r="F295" s="14"/>
      <c r="G295" s="14"/>
      <c r="H295" s="14"/>
      <c r="I295" s="14"/>
      <c r="J295" s="14"/>
      <c r="K295" s="14"/>
      <c r="L295" s="94">
        <f t="shared" si="15"/>
        <v>0</v>
      </c>
      <c r="M295" s="96">
        <f t="shared" si="16"/>
        <v>0</v>
      </c>
      <c r="N295" s="96">
        <f t="shared" si="17"/>
        <v>0</v>
      </c>
      <c r="O295" s="35"/>
      <c r="P295" s="35"/>
      <c r="Q295" s="35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13.5" customHeight="1" x14ac:dyDescent="0.35">
      <c r="A296" s="88">
        <v>12</v>
      </c>
      <c r="B296" s="11" t="s">
        <v>1078</v>
      </c>
      <c r="C296" s="11" t="s">
        <v>1326</v>
      </c>
      <c r="D296" s="430"/>
      <c r="E296" s="434"/>
      <c r="F296" s="14"/>
      <c r="G296" s="14"/>
      <c r="H296" s="14"/>
      <c r="I296" s="14"/>
      <c r="J296" s="14"/>
      <c r="K296" s="14"/>
      <c r="L296" s="94">
        <f t="shared" si="15"/>
        <v>0</v>
      </c>
      <c r="M296" s="96">
        <f t="shared" si="16"/>
        <v>0</v>
      </c>
      <c r="N296" s="96">
        <f t="shared" si="17"/>
        <v>0</v>
      </c>
      <c r="O296" s="35"/>
      <c r="P296" s="35"/>
      <c r="Q296" s="35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16.5" customHeight="1" x14ac:dyDescent="0.35">
      <c r="A297" s="349"/>
      <c r="B297" s="350" t="s">
        <v>620</v>
      </c>
      <c r="C297" s="392"/>
      <c r="D297" s="393"/>
      <c r="E297" s="394"/>
      <c r="F297" s="394"/>
      <c r="G297" s="394"/>
      <c r="H297" s="394"/>
      <c r="I297" s="394"/>
      <c r="J297" s="394"/>
      <c r="K297" s="394"/>
      <c r="L297" s="395">
        <f t="shared" ref="D297:M297" si="18">SUM(L285:L296)</f>
        <v>0</v>
      </c>
      <c r="M297" s="396">
        <f t="shared" si="18"/>
        <v>0</v>
      </c>
      <c r="N297" s="357"/>
      <c r="O297" s="435"/>
      <c r="P297" s="435"/>
      <c r="Q297" s="435"/>
      <c r="R297" s="436"/>
      <c r="S297" s="436"/>
      <c r="T297" s="436"/>
      <c r="U297" s="436"/>
      <c r="V297" s="436"/>
      <c r="W297" s="436"/>
      <c r="X297" s="436"/>
      <c r="Y297" s="436"/>
      <c r="Z297" s="436"/>
    </row>
    <row r="298" spans="1:26" ht="13.5" customHeight="1" x14ac:dyDescent="0.35">
      <c r="A298" s="88"/>
      <c r="B298" s="99"/>
      <c r="C298" s="11"/>
      <c r="D298" s="11"/>
      <c r="E298" s="14"/>
      <c r="F298" s="14"/>
      <c r="G298" s="14"/>
      <c r="H298" s="14"/>
      <c r="I298" s="14"/>
      <c r="J298" s="14"/>
      <c r="K298" s="14"/>
      <c r="L298" s="94"/>
      <c r="M298" s="96"/>
      <c r="N298" s="96"/>
      <c r="O298" s="35"/>
      <c r="P298" s="35"/>
      <c r="Q298" s="35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13.5" customHeight="1" x14ac:dyDescent="0.35">
      <c r="A299" s="424"/>
      <c r="B299" s="360" t="s">
        <v>1125</v>
      </c>
      <c r="C299" s="426"/>
      <c r="D299" s="426"/>
      <c r="E299" s="427"/>
      <c r="F299" s="427"/>
      <c r="G299" s="427"/>
      <c r="H299" s="427"/>
      <c r="I299" s="427"/>
      <c r="J299" s="427"/>
      <c r="K299" s="427"/>
      <c r="L299" s="428"/>
      <c r="M299" s="429"/>
      <c r="N299" s="429">
        <f t="shared" ref="N299:N322" si="19">D299-M299</f>
        <v>0</v>
      </c>
      <c r="O299" s="35"/>
      <c r="P299" s="35"/>
      <c r="Q299" s="35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13.5" customHeight="1" x14ac:dyDescent="0.35">
      <c r="A300" s="88">
        <v>1</v>
      </c>
      <c r="B300" s="11" t="s">
        <v>1521</v>
      </c>
      <c r="C300" s="11" t="s">
        <v>1285</v>
      </c>
      <c r="D300" s="89"/>
      <c r="E300" s="43"/>
      <c r="F300" s="14"/>
      <c r="G300" s="14"/>
      <c r="H300" s="14"/>
      <c r="I300" s="14"/>
      <c r="J300" s="14"/>
      <c r="K300" s="14"/>
      <c r="L300" s="94">
        <f t="shared" ref="L300:L308" si="20">D300-E300-F300-G300-H300-I300-J300-K300</f>
        <v>0</v>
      </c>
      <c r="M300" s="96">
        <f t="shared" ref="M300:M308" si="21">E300+F300+G300+H300+I300+J300+K300+L300</f>
        <v>0</v>
      </c>
      <c r="N300" s="96">
        <f t="shared" si="19"/>
        <v>0</v>
      </c>
      <c r="O300" s="35"/>
      <c r="P300" s="35"/>
      <c r="Q300" s="35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13.5" customHeight="1" x14ac:dyDescent="0.35">
      <c r="A301" s="88">
        <v>2</v>
      </c>
      <c r="B301" s="11" t="s">
        <v>1145</v>
      </c>
      <c r="C301" s="122" t="s">
        <v>1522</v>
      </c>
      <c r="D301" s="122"/>
      <c r="E301" s="43"/>
      <c r="F301" s="14"/>
      <c r="G301" s="14"/>
      <c r="H301" s="14"/>
      <c r="I301" s="14"/>
      <c r="J301" s="14"/>
      <c r="K301" s="14"/>
      <c r="L301" s="94">
        <f t="shared" si="20"/>
        <v>0</v>
      </c>
      <c r="M301" s="96">
        <f t="shared" si="21"/>
        <v>0</v>
      </c>
      <c r="N301" s="96">
        <f t="shared" si="19"/>
        <v>0</v>
      </c>
      <c r="O301" s="35"/>
      <c r="P301" s="35"/>
      <c r="Q301" s="35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13.5" customHeight="1" x14ac:dyDescent="0.35">
      <c r="A302" s="88">
        <v>3</v>
      </c>
      <c r="B302" s="101" t="s">
        <v>1523</v>
      </c>
      <c r="C302" s="11" t="s">
        <v>542</v>
      </c>
      <c r="D302" s="122"/>
      <c r="E302" s="90"/>
      <c r="F302" s="14"/>
      <c r="G302" s="14"/>
      <c r="H302" s="14"/>
      <c r="I302" s="14"/>
      <c r="J302" s="14"/>
      <c r="K302" s="14"/>
      <c r="L302" s="94">
        <f t="shared" si="20"/>
        <v>0</v>
      </c>
      <c r="M302" s="96">
        <f t="shared" si="21"/>
        <v>0</v>
      </c>
      <c r="N302" s="96">
        <f t="shared" si="19"/>
        <v>0</v>
      </c>
      <c r="O302" s="35"/>
      <c r="P302" s="35"/>
      <c r="Q302" s="35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13.5" customHeight="1" x14ac:dyDescent="0.35">
      <c r="A303" s="88">
        <v>4</v>
      </c>
      <c r="B303" s="101" t="s">
        <v>1524</v>
      </c>
      <c r="C303" s="11" t="s">
        <v>294</v>
      </c>
      <c r="D303" s="122"/>
      <c r="E303" s="43"/>
      <c r="F303" s="14"/>
      <c r="G303" s="14"/>
      <c r="H303" s="14"/>
      <c r="I303" s="14"/>
      <c r="J303" s="14"/>
      <c r="K303" s="14"/>
      <c r="L303" s="94">
        <f t="shared" si="20"/>
        <v>0</v>
      </c>
      <c r="M303" s="96">
        <f t="shared" si="21"/>
        <v>0</v>
      </c>
      <c r="N303" s="96">
        <f t="shared" si="19"/>
        <v>0</v>
      </c>
      <c r="O303" s="35"/>
      <c r="P303" s="35"/>
      <c r="Q303" s="35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13.5" customHeight="1" x14ac:dyDescent="0.35">
      <c r="A304" s="88">
        <v>5</v>
      </c>
      <c r="B304" s="101" t="s">
        <v>1155</v>
      </c>
      <c r="C304" s="11"/>
      <c r="D304" s="122"/>
      <c r="E304" s="43"/>
      <c r="F304" s="14"/>
      <c r="G304" s="14"/>
      <c r="H304" s="14"/>
      <c r="I304" s="14"/>
      <c r="J304" s="14"/>
      <c r="K304" s="14"/>
      <c r="L304" s="94">
        <f t="shared" si="20"/>
        <v>0</v>
      </c>
      <c r="M304" s="96">
        <f t="shared" si="21"/>
        <v>0</v>
      </c>
      <c r="N304" s="96">
        <f t="shared" si="19"/>
        <v>0</v>
      </c>
      <c r="O304" s="35"/>
      <c r="P304" s="35"/>
      <c r="Q304" s="35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13.5" customHeight="1" x14ac:dyDescent="0.35">
      <c r="A305" s="88">
        <v>6</v>
      </c>
      <c r="B305" s="101" t="s">
        <v>1157</v>
      </c>
      <c r="C305" s="11" t="s">
        <v>1526</v>
      </c>
      <c r="D305" s="122"/>
      <c r="E305" s="43"/>
      <c r="F305" s="14"/>
      <c r="G305" s="14"/>
      <c r="H305" s="14"/>
      <c r="I305" s="14"/>
      <c r="J305" s="14"/>
      <c r="K305" s="14"/>
      <c r="L305" s="94">
        <f t="shared" si="20"/>
        <v>0</v>
      </c>
      <c r="M305" s="96">
        <f t="shared" si="21"/>
        <v>0</v>
      </c>
      <c r="N305" s="96">
        <f t="shared" si="19"/>
        <v>0</v>
      </c>
      <c r="O305" s="35"/>
      <c r="P305" s="35"/>
      <c r="Q305" s="35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13.5" customHeight="1" x14ac:dyDescent="0.35">
      <c r="A306" s="88">
        <v>7</v>
      </c>
      <c r="B306" s="101" t="s">
        <v>1149</v>
      </c>
      <c r="C306" s="11" t="s">
        <v>1527</v>
      </c>
      <c r="D306" s="122"/>
      <c r="E306" s="43"/>
      <c r="F306" s="14"/>
      <c r="G306" s="14"/>
      <c r="H306" s="14"/>
      <c r="I306" s="14"/>
      <c r="J306" s="14"/>
      <c r="K306" s="14"/>
      <c r="L306" s="94">
        <f t="shared" si="20"/>
        <v>0</v>
      </c>
      <c r="M306" s="96">
        <f t="shared" si="21"/>
        <v>0</v>
      </c>
      <c r="N306" s="96">
        <f t="shared" si="19"/>
        <v>0</v>
      </c>
      <c r="O306" s="35"/>
      <c r="P306" s="35"/>
      <c r="Q306" s="35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13.5" customHeight="1" x14ac:dyDescent="0.35">
      <c r="A307" s="88">
        <v>8</v>
      </c>
      <c r="B307" s="101" t="s">
        <v>1528</v>
      </c>
      <c r="C307" s="11" t="s">
        <v>1326</v>
      </c>
      <c r="D307" s="122"/>
      <c r="E307" s="43"/>
      <c r="F307" s="14"/>
      <c r="G307" s="14"/>
      <c r="H307" s="14"/>
      <c r="I307" s="14"/>
      <c r="J307" s="14"/>
      <c r="K307" s="14"/>
      <c r="L307" s="94">
        <f t="shared" si="20"/>
        <v>0</v>
      </c>
      <c r="M307" s="96">
        <f t="shared" si="21"/>
        <v>0</v>
      </c>
      <c r="N307" s="96">
        <f t="shared" si="19"/>
        <v>0</v>
      </c>
      <c r="O307" s="35"/>
      <c r="P307" s="35"/>
      <c r="Q307" s="35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13.5" customHeight="1" x14ac:dyDescent="0.35">
      <c r="A308" s="88">
        <v>10</v>
      </c>
      <c r="B308" s="101" t="s">
        <v>1529</v>
      </c>
      <c r="C308" s="11" t="s">
        <v>1530</v>
      </c>
      <c r="D308" s="122"/>
      <c r="E308" s="43"/>
      <c r="F308" s="14"/>
      <c r="G308" s="14"/>
      <c r="H308" s="14"/>
      <c r="I308" s="14"/>
      <c r="J308" s="14"/>
      <c r="K308" s="14"/>
      <c r="L308" s="94">
        <f t="shared" si="20"/>
        <v>0</v>
      </c>
      <c r="M308" s="96">
        <f t="shared" si="21"/>
        <v>0</v>
      </c>
      <c r="N308" s="96">
        <f t="shared" si="19"/>
        <v>0</v>
      </c>
      <c r="O308" s="35"/>
      <c r="P308" s="35"/>
      <c r="Q308" s="35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19.5" customHeight="1" x14ac:dyDescent="0.35">
      <c r="A309" s="349"/>
      <c r="B309" s="350" t="s">
        <v>620</v>
      </c>
      <c r="C309" s="392"/>
      <c r="D309" s="421"/>
      <c r="E309" s="394"/>
      <c r="F309" s="394"/>
      <c r="G309" s="394"/>
      <c r="H309" s="394"/>
      <c r="I309" s="394"/>
      <c r="J309" s="394"/>
      <c r="K309" s="394"/>
      <c r="L309" s="422">
        <f t="shared" ref="L309:M309" si="22">SUM(L300:L308)</f>
        <v>0</v>
      </c>
      <c r="M309" s="423">
        <f t="shared" si="22"/>
        <v>0</v>
      </c>
      <c r="N309" s="357">
        <f t="shared" si="19"/>
        <v>0</v>
      </c>
      <c r="O309" s="35"/>
      <c r="P309" s="35"/>
      <c r="Q309" s="35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13.5" customHeight="1" x14ac:dyDescent="0.35">
      <c r="A310" s="88"/>
      <c r="B310" s="99"/>
      <c r="C310" s="11"/>
      <c r="D310" s="11"/>
      <c r="E310" s="14"/>
      <c r="F310" s="14"/>
      <c r="G310" s="14"/>
      <c r="H310" s="14"/>
      <c r="I310" s="14"/>
      <c r="J310" s="14"/>
      <c r="K310" s="14"/>
      <c r="L310" s="94"/>
      <c r="M310" s="96"/>
      <c r="N310" s="96">
        <f t="shared" si="19"/>
        <v>0</v>
      </c>
      <c r="O310" s="35"/>
      <c r="P310" s="35"/>
      <c r="Q310" s="35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13.5" customHeight="1" x14ac:dyDescent="0.35">
      <c r="A311" s="424"/>
      <c r="B311" s="360" t="s">
        <v>1164</v>
      </c>
      <c r="C311" s="426"/>
      <c r="D311" s="426"/>
      <c r="E311" s="427"/>
      <c r="F311" s="427"/>
      <c r="G311" s="427"/>
      <c r="H311" s="427"/>
      <c r="I311" s="427"/>
      <c r="J311" s="427"/>
      <c r="K311" s="427"/>
      <c r="L311" s="428"/>
      <c r="M311" s="429"/>
      <c r="N311" s="429">
        <f t="shared" si="19"/>
        <v>0</v>
      </c>
      <c r="O311" s="35"/>
      <c r="P311" s="35"/>
      <c r="Q311" s="35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15.75" customHeight="1" x14ac:dyDescent="0.35">
      <c r="A312" s="88">
        <v>1</v>
      </c>
      <c r="B312" s="11" t="s">
        <v>1178</v>
      </c>
      <c r="C312" s="11" t="s">
        <v>587</v>
      </c>
      <c r="D312" s="89"/>
      <c r="E312" s="14"/>
      <c r="F312" s="14"/>
      <c r="G312" s="14"/>
      <c r="H312" s="14"/>
      <c r="I312" s="14"/>
      <c r="J312" s="14"/>
      <c r="K312" s="14"/>
      <c r="L312" s="94">
        <f t="shared" ref="L312:L316" si="23">D312-E312-F312-G312-H312-I312-J312-K312</f>
        <v>0</v>
      </c>
      <c r="M312" s="96">
        <f t="shared" ref="M312:M316" si="24">E312+F312+G312+H312+I312+J312+K312+L312</f>
        <v>0</v>
      </c>
      <c r="N312" s="96">
        <f t="shared" si="19"/>
        <v>0</v>
      </c>
      <c r="O312" s="35"/>
      <c r="P312" s="35"/>
      <c r="Q312" s="35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15.75" customHeight="1" x14ac:dyDescent="0.35">
      <c r="A313" s="88">
        <v>2</v>
      </c>
      <c r="B313" s="11" t="s">
        <v>1167</v>
      </c>
      <c r="C313" s="11" t="s">
        <v>79</v>
      </c>
      <c r="D313" s="89"/>
      <c r="E313" s="14"/>
      <c r="F313" s="14"/>
      <c r="G313" s="14"/>
      <c r="H313" s="14"/>
      <c r="I313" s="14"/>
      <c r="J313" s="14"/>
      <c r="K313" s="14"/>
      <c r="L313" s="94">
        <f t="shared" si="23"/>
        <v>0</v>
      </c>
      <c r="M313" s="96">
        <f t="shared" si="24"/>
        <v>0</v>
      </c>
      <c r="N313" s="96">
        <f t="shared" si="19"/>
        <v>0</v>
      </c>
      <c r="O313" s="35"/>
      <c r="P313" s="35"/>
      <c r="Q313" s="35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13.5" customHeight="1" x14ac:dyDescent="0.35">
      <c r="A314" s="88">
        <v>3</v>
      </c>
      <c r="B314" s="11" t="s">
        <v>1176</v>
      </c>
      <c r="C314" s="11" t="s">
        <v>1531</v>
      </c>
      <c r="D314" s="89"/>
      <c r="E314" s="14"/>
      <c r="F314" s="14"/>
      <c r="G314" s="14"/>
      <c r="H314" s="14"/>
      <c r="I314" s="14"/>
      <c r="J314" s="14"/>
      <c r="K314" s="14"/>
      <c r="L314" s="94">
        <f t="shared" si="23"/>
        <v>0</v>
      </c>
      <c r="M314" s="96">
        <f t="shared" si="24"/>
        <v>0</v>
      </c>
      <c r="N314" s="96">
        <f t="shared" si="19"/>
        <v>0</v>
      </c>
      <c r="O314" s="35"/>
      <c r="P314" s="35"/>
      <c r="Q314" s="35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13.5" customHeight="1" x14ac:dyDescent="0.35">
      <c r="A315" s="88">
        <v>4</v>
      </c>
      <c r="B315" s="11" t="s">
        <v>1173</v>
      </c>
      <c r="C315" s="11" t="s">
        <v>79</v>
      </c>
      <c r="D315" s="89"/>
      <c r="E315" s="14"/>
      <c r="F315" s="14"/>
      <c r="G315" s="14"/>
      <c r="H315" s="14"/>
      <c r="I315" s="14"/>
      <c r="J315" s="14"/>
      <c r="K315" s="14"/>
      <c r="L315" s="94">
        <f t="shared" si="23"/>
        <v>0</v>
      </c>
      <c r="M315" s="96">
        <f t="shared" si="24"/>
        <v>0</v>
      </c>
      <c r="N315" s="96">
        <f t="shared" si="19"/>
        <v>0</v>
      </c>
      <c r="O315" s="35"/>
      <c r="P315" s="35"/>
      <c r="Q315" s="35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13.5" customHeight="1" x14ac:dyDescent="0.35">
      <c r="A316" s="88">
        <v>5</v>
      </c>
      <c r="B316" s="11" t="s">
        <v>1532</v>
      </c>
      <c r="C316" s="11" t="s">
        <v>79</v>
      </c>
      <c r="D316" s="89"/>
      <c r="E316" s="14"/>
      <c r="F316" s="14"/>
      <c r="G316" s="14"/>
      <c r="H316" s="14"/>
      <c r="I316" s="14"/>
      <c r="J316" s="14"/>
      <c r="K316" s="14"/>
      <c r="L316" s="94">
        <f t="shared" si="23"/>
        <v>0</v>
      </c>
      <c r="M316" s="96">
        <f t="shared" si="24"/>
        <v>0</v>
      </c>
      <c r="N316" s="96">
        <f t="shared" si="19"/>
        <v>0</v>
      </c>
      <c r="O316" s="35"/>
      <c r="P316" s="35"/>
      <c r="Q316" s="35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15.75" customHeight="1" x14ac:dyDescent="0.35">
      <c r="A317" s="349"/>
      <c r="B317" s="350" t="s">
        <v>620</v>
      </c>
      <c r="C317" s="392"/>
      <c r="D317" s="421"/>
      <c r="E317" s="394"/>
      <c r="F317" s="394"/>
      <c r="G317" s="394"/>
      <c r="H317" s="394"/>
      <c r="I317" s="394"/>
      <c r="J317" s="394"/>
      <c r="K317" s="394"/>
      <c r="L317" s="422">
        <f t="shared" ref="D317:M317" si="25">SUM(L312:L316)</f>
        <v>0</v>
      </c>
      <c r="M317" s="423">
        <f t="shared" si="25"/>
        <v>0</v>
      </c>
      <c r="N317" s="357">
        <f t="shared" si="19"/>
        <v>0</v>
      </c>
      <c r="O317" s="35"/>
      <c r="P317" s="35"/>
      <c r="Q317" s="35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13.5" customHeight="1" x14ac:dyDescent="0.35">
      <c r="A318" s="88"/>
      <c r="B318" s="99"/>
      <c r="C318" s="11"/>
      <c r="D318" s="11"/>
      <c r="E318" s="14"/>
      <c r="F318" s="14"/>
      <c r="G318" s="14"/>
      <c r="H318" s="14"/>
      <c r="I318" s="14"/>
      <c r="J318" s="14"/>
      <c r="K318" s="14"/>
      <c r="L318" s="94"/>
      <c r="M318" s="96"/>
      <c r="N318" s="96">
        <f t="shared" si="19"/>
        <v>0</v>
      </c>
      <c r="O318" s="35"/>
      <c r="P318" s="35"/>
      <c r="Q318" s="35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13.5" customHeight="1" x14ac:dyDescent="0.35">
      <c r="A319" s="424"/>
      <c r="B319" s="360" t="s">
        <v>1185</v>
      </c>
      <c r="C319" s="426"/>
      <c r="D319" s="426"/>
      <c r="E319" s="427"/>
      <c r="F319" s="427"/>
      <c r="G319" s="427"/>
      <c r="H319" s="427"/>
      <c r="I319" s="427"/>
      <c r="J319" s="427"/>
      <c r="K319" s="427"/>
      <c r="L319" s="428"/>
      <c r="M319" s="429"/>
      <c r="N319" s="429">
        <f t="shared" si="19"/>
        <v>0</v>
      </c>
      <c r="O319" s="35"/>
      <c r="P319" s="35"/>
      <c r="Q319" s="35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13.5" customHeight="1" x14ac:dyDescent="0.35">
      <c r="A320" s="88">
        <v>1</v>
      </c>
      <c r="B320" s="11" t="s">
        <v>1533</v>
      </c>
      <c r="C320" s="122" t="s">
        <v>1534</v>
      </c>
      <c r="D320" s="89"/>
      <c r="E320" s="14"/>
      <c r="F320" s="14"/>
      <c r="G320" s="14"/>
      <c r="H320" s="14"/>
      <c r="I320" s="14"/>
      <c r="J320" s="14"/>
      <c r="K320" s="14"/>
      <c r="L320" s="94">
        <f t="shared" ref="L320:L322" si="26">D320-E320-F320-G320-H320-I320-J320-K320</f>
        <v>0</v>
      </c>
      <c r="M320" s="96">
        <f t="shared" ref="M320:M322" si="27">E320+F320+G320+H320+I320+J320+K320+L320</f>
        <v>0</v>
      </c>
      <c r="N320" s="96">
        <f t="shared" si="19"/>
        <v>0</v>
      </c>
      <c r="O320" s="35"/>
      <c r="P320" s="35"/>
      <c r="Q320" s="35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13.5" customHeight="1" x14ac:dyDescent="0.35">
      <c r="A321" s="88">
        <v>2</v>
      </c>
      <c r="B321" s="11" t="s">
        <v>1187</v>
      </c>
      <c r="C321" s="122" t="s">
        <v>1535</v>
      </c>
      <c r="D321" s="89"/>
      <c r="E321" s="43"/>
      <c r="F321" s="14"/>
      <c r="G321" s="14"/>
      <c r="H321" s="14"/>
      <c r="I321" s="14"/>
      <c r="J321" s="14"/>
      <c r="K321" s="14"/>
      <c r="L321" s="94">
        <f t="shared" si="26"/>
        <v>0</v>
      </c>
      <c r="M321" s="96">
        <f t="shared" si="27"/>
        <v>0</v>
      </c>
      <c r="N321" s="96">
        <f t="shared" si="19"/>
        <v>0</v>
      </c>
      <c r="O321" s="35"/>
      <c r="P321" s="35"/>
      <c r="Q321" s="35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13.5" customHeight="1" x14ac:dyDescent="0.35">
      <c r="A322" s="88">
        <v>3</v>
      </c>
      <c r="B322" s="11" t="s">
        <v>1189</v>
      </c>
      <c r="C322" s="122" t="s">
        <v>1536</v>
      </c>
      <c r="D322" s="89"/>
      <c r="E322" s="14"/>
      <c r="F322" s="14"/>
      <c r="G322" s="14"/>
      <c r="H322" s="14"/>
      <c r="I322" s="14"/>
      <c r="J322" s="14"/>
      <c r="K322" s="14"/>
      <c r="L322" s="94">
        <f t="shared" si="26"/>
        <v>0</v>
      </c>
      <c r="M322" s="96">
        <f t="shared" si="27"/>
        <v>0</v>
      </c>
      <c r="N322" s="96">
        <f t="shared" si="19"/>
        <v>0</v>
      </c>
      <c r="O322" s="35"/>
      <c r="P322" s="35"/>
      <c r="Q322" s="35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18" customHeight="1" x14ac:dyDescent="0.35">
      <c r="A323" s="349"/>
      <c r="B323" s="392" t="s">
        <v>620</v>
      </c>
      <c r="C323" s="421"/>
      <c r="D323" s="352"/>
      <c r="E323" s="353"/>
      <c r="F323" s="353"/>
      <c r="G323" s="353"/>
      <c r="H323" s="353"/>
      <c r="I323" s="353"/>
      <c r="J323" s="353"/>
      <c r="K323" s="353"/>
      <c r="L323" s="354">
        <f t="shared" ref="D323:M323" si="28">SUM(L320:L322)</f>
        <v>0</v>
      </c>
      <c r="M323" s="355">
        <f t="shared" si="28"/>
        <v>0</v>
      </c>
      <c r="N323" s="357"/>
      <c r="O323" s="35"/>
      <c r="P323" s="35"/>
      <c r="Q323" s="35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13.5" customHeight="1" x14ac:dyDescent="0.35">
      <c r="A324" s="88"/>
      <c r="B324" s="99"/>
      <c r="C324" s="11"/>
      <c r="D324" s="11"/>
      <c r="E324" s="14"/>
      <c r="F324" s="14"/>
      <c r="G324" s="14"/>
      <c r="H324" s="14"/>
      <c r="I324" s="14"/>
      <c r="J324" s="14"/>
      <c r="K324" s="14"/>
      <c r="L324" s="94"/>
      <c r="M324" s="96"/>
      <c r="N324" s="96">
        <f t="shared" ref="N324:N328" si="29">D324-M324</f>
        <v>0</v>
      </c>
      <c r="O324" s="35"/>
      <c r="P324" s="35"/>
      <c r="Q324" s="35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13.5" customHeight="1" x14ac:dyDescent="0.35">
      <c r="A325" s="424"/>
      <c r="B325" s="360" t="s">
        <v>1537</v>
      </c>
      <c r="C325" s="426"/>
      <c r="D325" s="426"/>
      <c r="E325" s="427"/>
      <c r="F325" s="427"/>
      <c r="G325" s="427"/>
      <c r="H325" s="427"/>
      <c r="I325" s="427"/>
      <c r="J325" s="427"/>
      <c r="K325" s="427"/>
      <c r="L325" s="428"/>
      <c r="M325" s="429"/>
      <c r="N325" s="429">
        <f t="shared" si="29"/>
        <v>0</v>
      </c>
      <c r="O325" s="35"/>
      <c r="P325" s="35"/>
      <c r="Q325" s="35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13.5" customHeight="1" x14ac:dyDescent="0.35">
      <c r="A326" s="88">
        <v>1</v>
      </c>
      <c r="B326" s="101" t="s">
        <v>1538</v>
      </c>
      <c r="C326" s="11" t="s">
        <v>1330</v>
      </c>
      <c r="D326" s="366"/>
      <c r="E326" s="14"/>
      <c r="F326" s="14"/>
      <c r="G326" s="14"/>
      <c r="H326" s="14"/>
      <c r="I326" s="14"/>
      <c r="J326" s="14"/>
      <c r="K326" s="14"/>
      <c r="L326" s="94">
        <f t="shared" ref="L326:L333" si="30">D326-E326-F326-G326-H326-I326-J326-K326</f>
        <v>0</v>
      </c>
      <c r="M326" s="96">
        <f t="shared" ref="M326:M333" si="31">E326+F326+G326+H326+I326+J326+K326+L326</f>
        <v>0</v>
      </c>
      <c r="N326" s="96">
        <f t="shared" si="29"/>
        <v>0</v>
      </c>
      <c r="O326" s="35"/>
      <c r="P326" s="35"/>
      <c r="Q326" s="35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13.5" customHeight="1" x14ac:dyDescent="0.35">
      <c r="A327" s="88">
        <v>2</v>
      </c>
      <c r="B327" s="101" t="s">
        <v>1539</v>
      </c>
      <c r="C327" s="101" t="s">
        <v>1540</v>
      </c>
      <c r="D327" s="366"/>
      <c r="E327" s="43"/>
      <c r="F327" s="14"/>
      <c r="G327" s="14"/>
      <c r="H327" s="14"/>
      <c r="I327" s="14"/>
      <c r="J327" s="14"/>
      <c r="K327" s="14"/>
      <c r="L327" s="94">
        <f t="shared" si="30"/>
        <v>0</v>
      </c>
      <c r="M327" s="96">
        <f t="shared" si="31"/>
        <v>0</v>
      </c>
      <c r="N327" s="96">
        <f t="shared" si="29"/>
        <v>0</v>
      </c>
      <c r="O327" s="35"/>
      <c r="P327" s="35"/>
      <c r="Q327" s="35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13.5" customHeight="1" x14ac:dyDescent="0.35">
      <c r="A328" s="88">
        <v>3</v>
      </c>
      <c r="B328" s="101" t="s">
        <v>1541</v>
      </c>
      <c r="C328" s="11" t="s">
        <v>1542</v>
      </c>
      <c r="D328" s="366"/>
      <c r="E328" s="14"/>
      <c r="F328" s="14"/>
      <c r="G328" s="14"/>
      <c r="H328" s="14"/>
      <c r="I328" s="14"/>
      <c r="J328" s="14"/>
      <c r="K328" s="14"/>
      <c r="L328" s="94">
        <f t="shared" si="30"/>
        <v>0</v>
      </c>
      <c r="M328" s="96">
        <f t="shared" si="31"/>
        <v>0</v>
      </c>
      <c r="N328" s="96">
        <f t="shared" si="29"/>
        <v>0</v>
      </c>
      <c r="O328" s="35"/>
      <c r="P328" s="35"/>
      <c r="Q328" s="35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13.5" customHeight="1" x14ac:dyDescent="0.35">
      <c r="A329" s="88"/>
      <c r="B329" s="101" t="s">
        <v>1543</v>
      </c>
      <c r="C329" s="11" t="s">
        <v>1544</v>
      </c>
      <c r="D329" s="366"/>
      <c r="E329" s="120"/>
      <c r="F329" s="120"/>
      <c r="G329" s="120"/>
      <c r="H329" s="120"/>
      <c r="I329" s="120"/>
      <c r="J329" s="120"/>
      <c r="K329" s="120"/>
      <c r="L329" s="94">
        <f t="shared" si="30"/>
        <v>0</v>
      </c>
      <c r="M329" s="96">
        <f t="shared" si="31"/>
        <v>0</v>
      </c>
      <c r="N329" s="96"/>
      <c r="O329" s="35"/>
      <c r="P329" s="35"/>
      <c r="Q329" s="35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13.5" customHeight="1" x14ac:dyDescent="0.35">
      <c r="A330" s="88">
        <v>4</v>
      </c>
      <c r="B330" s="101" t="s">
        <v>1198</v>
      </c>
      <c r="C330" s="101" t="s">
        <v>1545</v>
      </c>
      <c r="D330" s="366"/>
      <c r="E330" s="14"/>
      <c r="F330" s="14"/>
      <c r="G330" s="14"/>
      <c r="H330" s="14"/>
      <c r="I330" s="14"/>
      <c r="J330" s="14"/>
      <c r="K330" s="14"/>
      <c r="L330" s="94">
        <f t="shared" si="30"/>
        <v>0</v>
      </c>
      <c r="M330" s="96">
        <f t="shared" si="31"/>
        <v>0</v>
      </c>
      <c r="N330" s="96">
        <f t="shared" ref="N330:N333" si="32">D330-M330</f>
        <v>0</v>
      </c>
      <c r="O330" s="35"/>
      <c r="P330" s="35"/>
      <c r="Q330" s="35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13.5" customHeight="1" x14ac:dyDescent="0.35">
      <c r="A331" s="88">
        <v>5</v>
      </c>
      <c r="B331" s="101" t="s">
        <v>1204</v>
      </c>
      <c r="C331" s="11" t="s">
        <v>1547</v>
      </c>
      <c r="D331" s="366"/>
      <c r="E331" s="14"/>
      <c r="F331" s="14"/>
      <c r="G331" s="14"/>
      <c r="H331" s="14"/>
      <c r="I331" s="14"/>
      <c r="J331" s="14"/>
      <c r="K331" s="14"/>
      <c r="L331" s="94">
        <f t="shared" si="30"/>
        <v>0</v>
      </c>
      <c r="M331" s="96">
        <f t="shared" si="31"/>
        <v>0</v>
      </c>
      <c r="N331" s="96">
        <f t="shared" si="32"/>
        <v>0</v>
      </c>
      <c r="O331" s="35"/>
      <c r="P331" s="35"/>
      <c r="Q331" s="35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13.5" customHeight="1" x14ac:dyDescent="0.35">
      <c r="A332" s="88">
        <v>6</v>
      </c>
      <c r="B332" s="101" t="s">
        <v>1548</v>
      </c>
      <c r="C332" s="11" t="s">
        <v>1550</v>
      </c>
      <c r="D332" s="89"/>
      <c r="E332" s="14"/>
      <c r="F332" s="14"/>
      <c r="G332" s="14"/>
      <c r="H332" s="14"/>
      <c r="I332" s="14"/>
      <c r="J332" s="14"/>
      <c r="K332" s="14"/>
      <c r="L332" s="94">
        <f t="shared" si="30"/>
        <v>0</v>
      </c>
      <c r="M332" s="96">
        <f t="shared" si="31"/>
        <v>0</v>
      </c>
      <c r="N332" s="96">
        <f t="shared" si="32"/>
        <v>0</v>
      </c>
      <c r="O332" s="35"/>
      <c r="P332" s="35"/>
      <c r="Q332" s="35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13.5" customHeight="1" x14ac:dyDescent="0.35">
      <c r="A333" s="88">
        <v>7</v>
      </c>
      <c r="B333" s="101" t="s">
        <v>1551</v>
      </c>
      <c r="C333" s="11"/>
      <c r="D333" s="89"/>
      <c r="E333" s="14"/>
      <c r="F333" s="14"/>
      <c r="G333" s="14"/>
      <c r="H333" s="14"/>
      <c r="I333" s="14"/>
      <c r="J333" s="14"/>
      <c r="K333" s="14"/>
      <c r="L333" s="94">
        <f t="shared" si="30"/>
        <v>0</v>
      </c>
      <c r="M333" s="96">
        <f t="shared" si="31"/>
        <v>0</v>
      </c>
      <c r="N333" s="96">
        <f t="shared" si="32"/>
        <v>0</v>
      </c>
      <c r="O333" s="35"/>
      <c r="P333" s="35"/>
      <c r="Q333" s="35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18" customHeight="1" x14ac:dyDescent="0.35">
      <c r="A334" s="349"/>
      <c r="B334" s="439" t="s">
        <v>620</v>
      </c>
      <c r="C334" s="392"/>
      <c r="D334" s="352"/>
      <c r="E334" s="353"/>
      <c r="F334" s="353"/>
      <c r="G334" s="353"/>
      <c r="H334" s="353"/>
      <c r="I334" s="353"/>
      <c r="J334" s="353"/>
      <c r="K334" s="353"/>
      <c r="L334" s="354">
        <f t="shared" ref="D334:M334" si="33">SUM(L326:L333)</f>
        <v>0</v>
      </c>
      <c r="M334" s="355">
        <f t="shared" si="33"/>
        <v>0</v>
      </c>
      <c r="N334" s="357"/>
      <c r="O334" s="435"/>
      <c r="P334" s="435"/>
      <c r="Q334" s="435"/>
      <c r="R334" s="436"/>
      <c r="S334" s="436"/>
      <c r="T334" s="436"/>
      <c r="U334" s="436"/>
      <c r="V334" s="436"/>
      <c r="W334" s="436"/>
      <c r="X334" s="436"/>
      <c r="Y334" s="436"/>
      <c r="Z334" s="436"/>
    </row>
    <row r="335" spans="1:26" ht="13.5" customHeight="1" x14ac:dyDescent="0.35">
      <c r="A335" s="88"/>
      <c r="B335" s="99"/>
      <c r="C335" s="11"/>
      <c r="D335" s="11"/>
      <c r="E335" s="14"/>
      <c r="F335" s="14"/>
      <c r="G335" s="14"/>
      <c r="H335" s="14"/>
      <c r="I335" s="14"/>
      <c r="J335" s="14"/>
      <c r="K335" s="14"/>
      <c r="L335" s="94"/>
      <c r="M335" s="96"/>
      <c r="N335" s="96">
        <f t="shared" ref="N335:N343" si="34">D335-M335</f>
        <v>0</v>
      </c>
      <c r="O335" s="35"/>
      <c r="P335" s="35"/>
      <c r="Q335" s="35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13.5" customHeight="1" x14ac:dyDescent="0.35">
      <c r="A336" s="424"/>
      <c r="B336" s="360" t="s">
        <v>1286</v>
      </c>
      <c r="C336" s="426"/>
      <c r="D336" s="426"/>
      <c r="E336" s="427"/>
      <c r="F336" s="427"/>
      <c r="G336" s="427"/>
      <c r="H336" s="427"/>
      <c r="I336" s="427"/>
      <c r="J336" s="427"/>
      <c r="K336" s="427"/>
      <c r="L336" s="428"/>
      <c r="M336" s="429"/>
      <c r="N336" s="429">
        <f t="shared" si="34"/>
        <v>0</v>
      </c>
      <c r="O336" s="35"/>
      <c r="P336" s="35"/>
      <c r="Q336" s="35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13.5" customHeight="1" x14ac:dyDescent="0.35">
      <c r="A337" s="88">
        <v>1</v>
      </c>
      <c r="B337" s="101" t="s">
        <v>1556</v>
      </c>
      <c r="C337" s="101" t="s">
        <v>1557</v>
      </c>
      <c r="D337" s="366"/>
      <c r="E337" s="440"/>
      <c r="F337" s="120"/>
      <c r="G337" s="120"/>
      <c r="H337" s="120"/>
      <c r="I337" s="120"/>
      <c r="J337" s="120"/>
      <c r="K337" s="120"/>
      <c r="L337" s="94">
        <f t="shared" ref="L337:L343" si="35">D337-E337-F337-G337-H337-I337-J337-K337</f>
        <v>0</v>
      </c>
      <c r="M337" s="96">
        <f t="shared" ref="M337:M343" si="36">E337+F337+G337+H337+I337+J337+K337+L337</f>
        <v>0</v>
      </c>
      <c r="N337" s="96">
        <f t="shared" si="34"/>
        <v>0</v>
      </c>
      <c r="O337" s="35"/>
      <c r="P337" s="35"/>
      <c r="Q337" s="35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13.5" customHeight="1" x14ac:dyDescent="0.35">
      <c r="A338" s="88">
        <v>2</v>
      </c>
      <c r="B338" s="11" t="s">
        <v>1239</v>
      </c>
      <c r="C338" s="11" t="s">
        <v>1558</v>
      </c>
      <c r="D338" s="122"/>
      <c r="E338" s="14"/>
      <c r="F338" s="14"/>
      <c r="G338" s="14"/>
      <c r="H338" s="14"/>
      <c r="I338" s="14"/>
      <c r="J338" s="14"/>
      <c r="K338" s="14"/>
      <c r="L338" s="94">
        <f t="shared" si="35"/>
        <v>0</v>
      </c>
      <c r="M338" s="96">
        <f t="shared" si="36"/>
        <v>0</v>
      </c>
      <c r="N338" s="96">
        <f t="shared" si="34"/>
        <v>0</v>
      </c>
      <c r="O338" s="35"/>
      <c r="P338" s="35"/>
      <c r="Q338" s="35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13.5" customHeight="1" x14ac:dyDescent="0.35">
      <c r="A339" s="88">
        <v>3</v>
      </c>
      <c r="B339" s="101" t="s">
        <v>1559</v>
      </c>
      <c r="C339" s="101" t="s">
        <v>1560</v>
      </c>
      <c r="D339" s="366"/>
      <c r="E339" s="441"/>
      <c r="F339" s="14"/>
      <c r="G339" s="14"/>
      <c r="H339" s="14"/>
      <c r="I339" s="14"/>
      <c r="J339" s="14"/>
      <c r="K339" s="14"/>
      <c r="L339" s="94">
        <f t="shared" si="35"/>
        <v>0</v>
      </c>
      <c r="M339" s="96">
        <f t="shared" si="36"/>
        <v>0</v>
      </c>
      <c r="N339" s="96">
        <f t="shared" si="34"/>
        <v>0</v>
      </c>
      <c r="O339" s="35"/>
      <c r="P339" s="35"/>
      <c r="Q339" s="35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13.5" customHeight="1" x14ac:dyDescent="0.35">
      <c r="A340" s="88">
        <v>4</v>
      </c>
      <c r="B340" s="101" t="s">
        <v>1235</v>
      </c>
      <c r="C340" s="101" t="s">
        <v>1561</v>
      </c>
      <c r="D340" s="366"/>
      <c r="E340" s="441"/>
      <c r="F340" s="14"/>
      <c r="G340" s="14"/>
      <c r="H340" s="14"/>
      <c r="I340" s="14"/>
      <c r="J340" s="14"/>
      <c r="K340" s="14"/>
      <c r="L340" s="94">
        <f t="shared" si="35"/>
        <v>0</v>
      </c>
      <c r="M340" s="96">
        <f t="shared" si="36"/>
        <v>0</v>
      </c>
      <c r="N340" s="96">
        <f t="shared" si="34"/>
        <v>0</v>
      </c>
      <c r="O340" s="35"/>
      <c r="P340" s="35"/>
      <c r="Q340" s="35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13.5" customHeight="1" x14ac:dyDescent="0.35">
      <c r="A341" s="88">
        <v>5</v>
      </c>
      <c r="B341" s="101" t="s">
        <v>1255</v>
      </c>
      <c r="C341" s="101"/>
      <c r="D341" s="366"/>
      <c r="E341" s="441"/>
      <c r="F341" s="14"/>
      <c r="G341" s="14"/>
      <c r="H341" s="14"/>
      <c r="I341" s="14"/>
      <c r="J341" s="14"/>
      <c r="K341" s="14"/>
      <c r="L341" s="94">
        <f t="shared" si="35"/>
        <v>0</v>
      </c>
      <c r="M341" s="96">
        <f t="shared" si="36"/>
        <v>0</v>
      </c>
      <c r="N341" s="96">
        <f t="shared" si="34"/>
        <v>0</v>
      </c>
      <c r="O341" s="35"/>
      <c r="P341" s="35"/>
      <c r="Q341" s="35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13.5" customHeight="1" x14ac:dyDescent="0.35">
      <c r="A342" s="88">
        <v>6</v>
      </c>
      <c r="B342" s="101" t="s">
        <v>1484</v>
      </c>
      <c r="C342" s="101" t="s">
        <v>1562</v>
      </c>
      <c r="D342" s="366"/>
      <c r="E342" s="441"/>
      <c r="F342" s="14"/>
      <c r="G342" s="14"/>
      <c r="H342" s="14"/>
      <c r="I342" s="14"/>
      <c r="J342" s="14"/>
      <c r="K342" s="14"/>
      <c r="L342" s="94">
        <f t="shared" si="35"/>
        <v>0</v>
      </c>
      <c r="M342" s="96">
        <f t="shared" si="36"/>
        <v>0</v>
      </c>
      <c r="N342" s="96">
        <f t="shared" si="34"/>
        <v>0</v>
      </c>
      <c r="O342" s="35"/>
      <c r="P342" s="35"/>
      <c r="Q342" s="35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13.5" customHeight="1" x14ac:dyDescent="0.35">
      <c r="A343" s="88">
        <v>7</v>
      </c>
      <c r="B343" s="101" t="s">
        <v>1563</v>
      </c>
      <c r="C343" s="101"/>
      <c r="D343" s="366"/>
      <c r="E343" s="441"/>
      <c r="F343" s="14"/>
      <c r="G343" s="14"/>
      <c r="H343" s="14"/>
      <c r="I343" s="14"/>
      <c r="J343" s="14"/>
      <c r="K343" s="14"/>
      <c r="L343" s="94">
        <f t="shared" si="35"/>
        <v>0</v>
      </c>
      <c r="M343" s="96">
        <f t="shared" si="36"/>
        <v>0</v>
      </c>
      <c r="N343" s="96">
        <f t="shared" si="34"/>
        <v>0</v>
      </c>
      <c r="O343" s="35"/>
      <c r="P343" s="35"/>
      <c r="Q343" s="35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20.25" customHeight="1" x14ac:dyDescent="0.35">
      <c r="A344" s="442"/>
      <c r="B344" s="443" t="s">
        <v>620</v>
      </c>
      <c r="C344" s="444"/>
      <c r="D344" s="445"/>
      <c r="E344" s="446"/>
      <c r="F344" s="446"/>
      <c r="G344" s="446"/>
      <c r="H344" s="446"/>
      <c r="I344" s="446"/>
      <c r="J344" s="446"/>
      <c r="K344" s="446"/>
      <c r="L344" s="447">
        <f t="shared" ref="D344:M344" si="37">SUM(L337:L343)</f>
        <v>0</v>
      </c>
      <c r="M344" s="445">
        <f t="shared" si="37"/>
        <v>0</v>
      </c>
      <c r="N344" s="448"/>
      <c r="O344" s="35"/>
      <c r="P344" s="35"/>
      <c r="Q344" s="35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20.25" customHeight="1" x14ac:dyDescent="0.35">
      <c r="A345" s="450"/>
      <c r="B345" s="451"/>
      <c r="C345" s="452"/>
      <c r="D345" s="453"/>
      <c r="E345" s="454"/>
      <c r="F345" s="454"/>
      <c r="G345" s="454"/>
      <c r="H345" s="454"/>
      <c r="I345" s="454"/>
      <c r="J345" s="454"/>
      <c r="K345" s="454"/>
      <c r="L345" s="456"/>
      <c r="M345" s="453"/>
      <c r="N345" s="457"/>
      <c r="O345" s="35"/>
      <c r="P345" s="35"/>
      <c r="Q345" s="35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20.25" customHeight="1" x14ac:dyDescent="0.35">
      <c r="A346" s="424"/>
      <c r="B346" s="360" t="s">
        <v>1269</v>
      </c>
      <c r="C346" s="426"/>
      <c r="D346" s="426"/>
      <c r="E346" s="427"/>
      <c r="F346" s="427"/>
      <c r="G346" s="427"/>
      <c r="H346" s="427"/>
      <c r="I346" s="427"/>
      <c r="J346" s="427"/>
      <c r="K346" s="427"/>
      <c r="L346" s="428"/>
      <c r="M346" s="429"/>
      <c r="N346" s="429">
        <f t="shared" ref="N346:N348" si="38">D346-M346</f>
        <v>0</v>
      </c>
      <c r="O346" s="35"/>
      <c r="P346" s="35"/>
      <c r="Q346" s="35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20.25" customHeight="1" x14ac:dyDescent="0.35">
      <c r="A347" s="88">
        <v>1</v>
      </c>
      <c r="B347" s="112" t="s">
        <v>1564</v>
      </c>
      <c r="C347" s="1" t="s">
        <v>1565</v>
      </c>
      <c r="D347" s="366"/>
      <c r="E347" s="441"/>
      <c r="F347" s="14"/>
      <c r="G347" s="14"/>
      <c r="H347" s="14"/>
      <c r="I347" s="14"/>
      <c r="J347" s="14"/>
      <c r="K347" s="14"/>
      <c r="L347" s="94">
        <f t="shared" ref="L347:L348" si="39">D347-E347-F347-G347-H347-I347-J347-K347</f>
        <v>0</v>
      </c>
      <c r="M347" s="96">
        <f t="shared" ref="M347:M348" si="40">E347+F347+G347+H347+I347+J347+K347+L347</f>
        <v>0</v>
      </c>
      <c r="N347" s="96">
        <f t="shared" si="38"/>
        <v>0</v>
      </c>
      <c r="O347" s="35"/>
      <c r="P347" s="35"/>
      <c r="Q347" s="35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20.25" customHeight="1" x14ac:dyDescent="0.35">
      <c r="A348" s="88">
        <v>2</v>
      </c>
      <c r="B348" s="47" t="s">
        <v>1567</v>
      </c>
      <c r="C348" s="1" t="s">
        <v>1526</v>
      </c>
      <c r="D348" s="122"/>
      <c r="E348" s="14"/>
      <c r="F348" s="14"/>
      <c r="G348" s="14"/>
      <c r="H348" s="14"/>
      <c r="I348" s="14"/>
      <c r="J348" s="14"/>
      <c r="K348" s="14"/>
      <c r="L348" s="94">
        <f t="shared" si="39"/>
        <v>0</v>
      </c>
      <c r="M348" s="96">
        <f t="shared" si="40"/>
        <v>0</v>
      </c>
      <c r="N348" s="96">
        <f t="shared" si="38"/>
        <v>0</v>
      </c>
      <c r="O348" s="35"/>
      <c r="P348" s="35"/>
      <c r="Q348" s="35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20.25" customHeight="1" x14ac:dyDescent="0.35">
      <c r="A349" s="460"/>
      <c r="B349" s="462" t="s">
        <v>620</v>
      </c>
      <c r="C349" s="463"/>
      <c r="D349" s="465"/>
      <c r="E349" s="465"/>
      <c r="F349" s="465"/>
      <c r="G349" s="465"/>
      <c r="H349" s="465"/>
      <c r="I349" s="465"/>
      <c r="J349" s="465"/>
      <c r="K349" s="465"/>
      <c r="L349" s="465">
        <f t="shared" ref="D349:N349" si="41">SUM(L347:L348)</f>
        <v>0</v>
      </c>
      <c r="M349" s="453">
        <f t="shared" si="41"/>
        <v>0</v>
      </c>
      <c r="N349" s="453">
        <f t="shared" si="41"/>
        <v>0</v>
      </c>
      <c r="O349" s="35"/>
      <c r="P349" s="35"/>
      <c r="Q349" s="35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20.25" customHeight="1" x14ac:dyDescent="0.35">
      <c r="A350" s="450"/>
      <c r="B350" s="451"/>
      <c r="C350" s="452"/>
      <c r="D350" s="453"/>
      <c r="E350" s="454"/>
      <c r="F350" s="454"/>
      <c r="G350" s="454"/>
      <c r="H350" s="454"/>
      <c r="I350" s="454"/>
      <c r="J350" s="454"/>
      <c r="K350" s="454"/>
      <c r="L350" s="456"/>
      <c r="M350" s="453"/>
      <c r="N350" s="457"/>
      <c r="O350" s="35"/>
      <c r="P350" s="35"/>
      <c r="Q350" s="35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18.75" customHeight="1" x14ac:dyDescent="0.35">
      <c r="A351" s="5"/>
      <c r="B351" s="9" t="s">
        <v>752</v>
      </c>
      <c r="C351" s="5"/>
      <c r="D351" s="467">
        <f>D344+D334+D323+D317+D309+D297+D282+D227+D199+D349</f>
        <v>0</v>
      </c>
      <c r="E351" s="468">
        <f>E344+E334+E323+E317+E309+E297+E282+E227+E199</f>
        <v>0</v>
      </c>
      <c r="F351" s="468">
        <f t="shared" ref="F351:L351" si="42">F349+F344+F334+F323+F317+F309+F297+F282+F227+F199</f>
        <v>0</v>
      </c>
      <c r="G351" s="468">
        <f t="shared" si="42"/>
        <v>0</v>
      </c>
      <c r="H351" s="468">
        <f t="shared" si="42"/>
        <v>0</v>
      </c>
      <c r="I351" s="468">
        <f t="shared" si="42"/>
        <v>0</v>
      </c>
      <c r="J351" s="468">
        <f t="shared" si="42"/>
        <v>0</v>
      </c>
      <c r="K351" s="468">
        <f t="shared" si="42"/>
        <v>0</v>
      </c>
      <c r="L351" s="468">
        <f t="shared" si="42"/>
        <v>0</v>
      </c>
      <c r="M351" s="467">
        <f>M344+M334+M323+M317+M309+M297+M282+M227+M199+M349</f>
        <v>0</v>
      </c>
      <c r="N351" s="467">
        <f>N344+N334+N323+N317+N309+N297+N282+N227+N199</f>
        <v>0</v>
      </c>
      <c r="O351" s="35"/>
      <c r="P351" s="35"/>
      <c r="Q351" s="35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13.5" customHeight="1" x14ac:dyDescent="0.35">
      <c r="A352" s="35"/>
      <c r="B352" s="470"/>
      <c r="C352" s="35"/>
      <c r="D352" s="35"/>
      <c r="E352" s="471"/>
      <c r="F352" s="471"/>
      <c r="G352" s="471"/>
      <c r="H352" s="471"/>
      <c r="I352" s="471"/>
      <c r="J352" s="471"/>
      <c r="K352" s="471"/>
      <c r="L352" s="35"/>
      <c r="M352" s="472"/>
      <c r="N352" s="472"/>
      <c r="O352" s="35"/>
      <c r="P352" s="35"/>
      <c r="Q352" s="35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13.5" customHeight="1" x14ac:dyDescent="0.35">
      <c r="A353" s="35"/>
      <c r="B353" s="470"/>
      <c r="C353" s="35"/>
      <c r="D353" s="35"/>
      <c r="E353" s="471"/>
      <c r="F353" s="471"/>
      <c r="G353" s="471"/>
      <c r="H353" s="471"/>
      <c r="I353" s="471"/>
      <c r="J353" s="471"/>
      <c r="K353" s="471"/>
      <c r="L353" s="35"/>
      <c r="M353" s="472"/>
      <c r="N353" s="472"/>
      <c r="O353" s="35"/>
      <c r="P353" s="35"/>
      <c r="Q353" s="35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13.5" customHeight="1" x14ac:dyDescent="0.35">
      <c r="A354" s="35"/>
      <c r="B354" s="470"/>
      <c r="C354" s="35"/>
      <c r="D354" s="35"/>
      <c r="E354" s="471"/>
      <c r="F354" s="471"/>
      <c r="G354" s="471"/>
      <c r="H354" s="471"/>
      <c r="I354" s="471"/>
      <c r="J354" s="471"/>
      <c r="K354" s="471"/>
      <c r="L354" s="35"/>
      <c r="M354" s="472"/>
      <c r="N354" s="472"/>
      <c r="O354" s="35"/>
      <c r="P354" s="35"/>
      <c r="Q354" s="35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13.5" customHeight="1" x14ac:dyDescent="0.35">
      <c r="A355" s="35"/>
      <c r="B355" s="470"/>
      <c r="C355" s="35"/>
      <c r="D355" s="35"/>
      <c r="E355" s="471"/>
      <c r="F355" s="471"/>
      <c r="G355" s="471"/>
      <c r="H355" s="471"/>
      <c r="I355" s="471"/>
      <c r="J355" s="471"/>
      <c r="K355" s="471"/>
      <c r="L355" s="35"/>
      <c r="M355" s="472"/>
      <c r="N355" s="472"/>
      <c r="O355" s="35"/>
      <c r="P355" s="35"/>
      <c r="Q355" s="35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13.5" customHeight="1" x14ac:dyDescent="0.35">
      <c r="A356" s="35"/>
      <c r="B356" s="470"/>
      <c r="C356" s="35"/>
      <c r="D356" s="35"/>
      <c r="E356" s="471"/>
      <c r="F356" s="471"/>
      <c r="G356" s="471"/>
      <c r="H356" s="471"/>
      <c r="I356" s="471"/>
      <c r="J356" s="471"/>
      <c r="K356" s="471"/>
      <c r="L356" s="35"/>
      <c r="M356" s="472"/>
      <c r="N356" s="472"/>
      <c r="O356" s="35"/>
      <c r="P356" s="35"/>
      <c r="Q356" s="35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13.5" customHeight="1" x14ac:dyDescent="0.35">
      <c r="A357" s="35"/>
      <c r="B357" s="470"/>
      <c r="C357" s="35"/>
      <c r="D357" s="35"/>
      <c r="E357" s="471"/>
      <c r="F357" s="471"/>
      <c r="G357" s="471"/>
      <c r="H357" s="471"/>
      <c r="I357" s="471"/>
      <c r="J357" s="471"/>
      <c r="K357" s="471"/>
      <c r="L357" s="35"/>
      <c r="M357" s="472"/>
      <c r="N357" s="472"/>
      <c r="O357" s="35"/>
      <c r="P357" s="35"/>
      <c r="Q357" s="35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13.5" customHeight="1" x14ac:dyDescent="0.35">
      <c r="A358" s="35"/>
      <c r="B358" s="470"/>
      <c r="C358" s="35"/>
      <c r="D358" s="35"/>
      <c r="E358" s="471"/>
      <c r="F358" s="471"/>
      <c r="G358" s="471"/>
      <c r="H358" s="471"/>
      <c r="I358" s="471"/>
      <c r="J358" s="471"/>
      <c r="K358" s="471"/>
      <c r="L358" s="35"/>
      <c r="M358" s="472"/>
      <c r="N358" s="472"/>
      <c r="O358" s="35"/>
      <c r="P358" s="35"/>
      <c r="Q358" s="35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13.5" customHeight="1" x14ac:dyDescent="0.35">
      <c r="A359" s="35"/>
      <c r="B359" s="470"/>
      <c r="C359" s="35"/>
      <c r="D359" s="35"/>
      <c r="E359" s="471"/>
      <c r="F359" s="471"/>
      <c r="G359" s="471"/>
      <c r="H359" s="471"/>
      <c r="I359" s="471"/>
      <c r="J359" s="471"/>
      <c r="K359" s="471"/>
      <c r="L359" s="35"/>
      <c r="M359" s="472"/>
      <c r="N359" s="472"/>
      <c r="O359" s="35"/>
      <c r="P359" s="35"/>
      <c r="Q359" s="35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13.5" customHeight="1" x14ac:dyDescent="0.35">
      <c r="A360" s="35"/>
      <c r="B360" s="470"/>
      <c r="C360" s="35"/>
      <c r="D360" s="35"/>
      <c r="E360" s="471"/>
      <c r="F360" s="471"/>
      <c r="G360" s="471"/>
      <c r="H360" s="471"/>
      <c r="I360" s="471"/>
      <c r="J360" s="471"/>
      <c r="K360" s="471"/>
      <c r="L360" s="35"/>
      <c r="M360" s="472"/>
      <c r="N360" s="472"/>
      <c r="O360" s="35"/>
      <c r="P360" s="35"/>
      <c r="Q360" s="35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13.5" customHeight="1" x14ac:dyDescent="0.35">
      <c r="A361" s="35"/>
      <c r="B361" s="470"/>
      <c r="C361" s="35"/>
      <c r="D361" s="35"/>
      <c r="E361" s="471"/>
      <c r="F361" s="471"/>
      <c r="G361" s="471"/>
      <c r="H361" s="471"/>
      <c r="I361" s="471"/>
      <c r="J361" s="471"/>
      <c r="K361" s="471"/>
      <c r="L361" s="35"/>
      <c r="M361" s="472"/>
      <c r="N361" s="472"/>
      <c r="O361" s="35"/>
      <c r="P361" s="35"/>
      <c r="Q361" s="35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13.5" customHeight="1" x14ac:dyDescent="0.35">
      <c r="A362" s="35"/>
      <c r="B362" s="470"/>
      <c r="C362" s="35"/>
      <c r="D362" s="35"/>
      <c r="E362" s="471"/>
      <c r="F362" s="471"/>
      <c r="G362" s="471"/>
      <c r="H362" s="471"/>
      <c r="I362" s="471"/>
      <c r="J362" s="471"/>
      <c r="K362" s="471"/>
      <c r="L362" s="35"/>
      <c r="M362" s="472"/>
      <c r="N362" s="472"/>
      <c r="O362" s="35"/>
      <c r="P362" s="35"/>
      <c r="Q362" s="35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13.5" customHeight="1" x14ac:dyDescent="0.35">
      <c r="A363" s="35"/>
      <c r="B363" s="470"/>
      <c r="C363" s="35"/>
      <c r="D363" s="35"/>
      <c r="E363" s="471"/>
      <c r="F363" s="471"/>
      <c r="G363" s="471"/>
      <c r="H363" s="471"/>
      <c r="I363" s="471"/>
      <c r="J363" s="471"/>
      <c r="K363" s="471"/>
      <c r="L363" s="35"/>
      <c r="M363" s="472"/>
      <c r="N363" s="472"/>
      <c r="O363" s="35"/>
      <c r="P363" s="35"/>
      <c r="Q363" s="35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13.5" customHeight="1" x14ac:dyDescent="0.35">
      <c r="A364" s="35"/>
      <c r="B364" s="470"/>
      <c r="C364" s="35"/>
      <c r="D364" s="35"/>
      <c r="E364" s="471"/>
      <c r="F364" s="471"/>
      <c r="G364" s="471"/>
      <c r="H364" s="471"/>
      <c r="I364" s="471"/>
      <c r="J364" s="471"/>
      <c r="K364" s="471"/>
      <c r="L364" s="35"/>
      <c r="M364" s="472"/>
      <c r="N364" s="472"/>
      <c r="O364" s="35"/>
      <c r="P364" s="35"/>
      <c r="Q364" s="35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13.5" customHeight="1" x14ac:dyDescent="0.35">
      <c r="A365" s="35"/>
      <c r="B365" s="470"/>
      <c r="C365" s="35"/>
      <c r="D365" s="35"/>
      <c r="E365" s="471"/>
      <c r="F365" s="471"/>
      <c r="G365" s="471"/>
      <c r="H365" s="471"/>
      <c r="I365" s="471"/>
      <c r="J365" s="471"/>
      <c r="K365" s="471"/>
      <c r="L365" s="35"/>
      <c r="M365" s="472"/>
      <c r="N365" s="472"/>
      <c r="O365" s="35"/>
      <c r="P365" s="35"/>
      <c r="Q365" s="35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13.5" customHeight="1" x14ac:dyDescent="0.35">
      <c r="A366" s="35"/>
      <c r="B366" s="470"/>
      <c r="C366" s="35"/>
      <c r="D366" s="35"/>
      <c r="E366" s="471"/>
      <c r="F366" s="471"/>
      <c r="G366" s="471"/>
      <c r="H366" s="471"/>
      <c r="I366" s="471"/>
      <c r="J366" s="471"/>
      <c r="K366" s="471"/>
      <c r="L366" s="35"/>
      <c r="M366" s="472"/>
      <c r="N366" s="472"/>
      <c r="O366" s="35"/>
      <c r="P366" s="35"/>
      <c r="Q366" s="35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13.5" customHeight="1" x14ac:dyDescent="0.35">
      <c r="A367" s="35"/>
      <c r="B367" s="470"/>
      <c r="C367" s="35"/>
      <c r="D367" s="35"/>
      <c r="E367" s="471"/>
      <c r="F367" s="471"/>
      <c r="G367" s="471"/>
      <c r="H367" s="471"/>
      <c r="I367" s="471"/>
      <c r="J367" s="471"/>
      <c r="K367" s="471"/>
      <c r="L367" s="35"/>
      <c r="M367" s="472"/>
      <c r="N367" s="472"/>
      <c r="O367" s="35"/>
      <c r="P367" s="35"/>
      <c r="Q367" s="35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13.5" customHeight="1" x14ac:dyDescent="0.35">
      <c r="A368" s="35"/>
      <c r="B368" s="470"/>
      <c r="C368" s="35"/>
      <c r="D368" s="35"/>
      <c r="E368" s="471"/>
      <c r="F368" s="471"/>
      <c r="G368" s="471"/>
      <c r="H368" s="471"/>
      <c r="I368" s="471"/>
      <c r="J368" s="471"/>
      <c r="K368" s="471"/>
      <c r="L368" s="35"/>
      <c r="M368" s="472"/>
      <c r="N368" s="472"/>
      <c r="O368" s="35"/>
      <c r="P368" s="35"/>
      <c r="Q368" s="35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13.5" customHeight="1" x14ac:dyDescent="0.35">
      <c r="A369" s="35"/>
      <c r="B369" s="470"/>
      <c r="C369" s="35"/>
      <c r="D369" s="35"/>
      <c r="E369" s="471"/>
      <c r="F369" s="471"/>
      <c r="G369" s="471"/>
      <c r="H369" s="471"/>
      <c r="I369" s="471"/>
      <c r="J369" s="471"/>
      <c r="K369" s="471"/>
      <c r="L369" s="35"/>
      <c r="M369" s="472"/>
      <c r="N369" s="472"/>
      <c r="O369" s="35"/>
      <c r="P369" s="35"/>
      <c r="Q369" s="35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13.5" customHeight="1" x14ac:dyDescent="0.35">
      <c r="A370" s="35"/>
      <c r="B370" s="470"/>
      <c r="C370" s="35"/>
      <c r="D370" s="35"/>
      <c r="E370" s="471"/>
      <c r="F370" s="471"/>
      <c r="G370" s="471"/>
      <c r="H370" s="471"/>
      <c r="I370" s="471"/>
      <c r="J370" s="471"/>
      <c r="K370" s="471"/>
      <c r="L370" s="35"/>
      <c r="M370" s="472"/>
      <c r="N370" s="472"/>
      <c r="O370" s="35"/>
      <c r="P370" s="35"/>
      <c r="Q370" s="35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13.5" customHeight="1" x14ac:dyDescent="0.35">
      <c r="A371" s="35"/>
      <c r="B371" s="470"/>
      <c r="C371" s="35"/>
      <c r="D371" s="35"/>
      <c r="E371" s="471"/>
      <c r="F371" s="471"/>
      <c r="G371" s="471"/>
      <c r="H371" s="471"/>
      <c r="I371" s="471"/>
      <c r="J371" s="471"/>
      <c r="K371" s="471"/>
      <c r="L371" s="35"/>
      <c r="M371" s="472"/>
      <c r="N371" s="472"/>
      <c r="O371" s="35"/>
      <c r="P371" s="35"/>
      <c r="Q371" s="35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13.5" customHeight="1" x14ac:dyDescent="0.35">
      <c r="A372" s="35"/>
      <c r="B372" s="470"/>
      <c r="C372" s="35"/>
      <c r="D372" s="35"/>
      <c r="E372" s="471"/>
      <c r="F372" s="471"/>
      <c r="G372" s="471"/>
      <c r="H372" s="471"/>
      <c r="I372" s="471"/>
      <c r="J372" s="471"/>
      <c r="K372" s="471"/>
      <c r="L372" s="35"/>
      <c r="M372" s="472"/>
      <c r="N372" s="472"/>
      <c r="O372" s="35"/>
      <c r="P372" s="35"/>
      <c r="Q372" s="35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13.5" customHeight="1" x14ac:dyDescent="0.35">
      <c r="A373" s="35"/>
      <c r="B373" s="470"/>
      <c r="C373" s="35"/>
      <c r="D373" s="35"/>
      <c r="E373" s="471"/>
      <c r="F373" s="471"/>
      <c r="G373" s="471"/>
      <c r="H373" s="471"/>
      <c r="I373" s="471"/>
      <c r="J373" s="471"/>
      <c r="K373" s="471"/>
      <c r="L373" s="35"/>
      <c r="M373" s="472"/>
      <c r="N373" s="472"/>
      <c r="O373" s="35"/>
      <c r="P373" s="35"/>
      <c r="Q373" s="35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13.5" customHeight="1" x14ac:dyDescent="0.35">
      <c r="A374" s="35"/>
      <c r="B374" s="470"/>
      <c r="C374" s="35"/>
      <c r="D374" s="35"/>
      <c r="E374" s="471"/>
      <c r="F374" s="471"/>
      <c r="G374" s="471"/>
      <c r="H374" s="471"/>
      <c r="I374" s="471"/>
      <c r="J374" s="471"/>
      <c r="K374" s="471"/>
      <c r="L374" s="35"/>
      <c r="M374" s="472"/>
      <c r="N374" s="472"/>
      <c r="O374" s="35"/>
      <c r="P374" s="35"/>
      <c r="Q374" s="35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13.5" customHeight="1" x14ac:dyDescent="0.35">
      <c r="A375" s="35"/>
      <c r="B375" s="470"/>
      <c r="C375" s="35"/>
      <c r="D375" s="35"/>
      <c r="E375" s="471"/>
      <c r="F375" s="471"/>
      <c r="G375" s="471"/>
      <c r="H375" s="471"/>
      <c r="I375" s="471"/>
      <c r="J375" s="471"/>
      <c r="K375" s="471"/>
      <c r="L375" s="35"/>
      <c r="M375" s="472"/>
      <c r="N375" s="472"/>
      <c r="O375" s="35"/>
      <c r="P375" s="35"/>
      <c r="Q375" s="35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13.5" customHeight="1" x14ac:dyDescent="0.35">
      <c r="A376" s="35"/>
      <c r="B376" s="470"/>
      <c r="C376" s="35"/>
      <c r="D376" s="35"/>
      <c r="E376" s="471"/>
      <c r="F376" s="471"/>
      <c r="G376" s="471"/>
      <c r="H376" s="471"/>
      <c r="I376" s="471"/>
      <c r="J376" s="471"/>
      <c r="K376" s="471"/>
      <c r="L376" s="35"/>
      <c r="M376" s="472"/>
      <c r="N376" s="472"/>
      <c r="O376" s="35"/>
      <c r="P376" s="35"/>
      <c r="Q376" s="35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13.5" customHeight="1" x14ac:dyDescent="0.35">
      <c r="A377" s="35"/>
      <c r="B377" s="470"/>
      <c r="C377" s="35"/>
      <c r="D377" s="35"/>
      <c r="E377" s="471"/>
      <c r="F377" s="471"/>
      <c r="G377" s="471"/>
      <c r="H377" s="471"/>
      <c r="I377" s="471"/>
      <c r="J377" s="471"/>
      <c r="K377" s="471"/>
      <c r="L377" s="35"/>
      <c r="M377" s="472"/>
      <c r="N377" s="472"/>
      <c r="O377" s="35"/>
      <c r="P377" s="35"/>
      <c r="Q377" s="35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13.5" customHeight="1" x14ac:dyDescent="0.35">
      <c r="A378" s="35"/>
      <c r="B378" s="470"/>
      <c r="C378" s="35"/>
      <c r="D378" s="35"/>
      <c r="E378" s="471"/>
      <c r="F378" s="471"/>
      <c r="G378" s="471"/>
      <c r="H378" s="471"/>
      <c r="I378" s="471"/>
      <c r="J378" s="471"/>
      <c r="K378" s="471"/>
      <c r="L378" s="35"/>
      <c r="M378" s="472"/>
      <c r="N378" s="472"/>
      <c r="O378" s="35"/>
      <c r="P378" s="35"/>
      <c r="Q378" s="35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13.5" customHeight="1" x14ac:dyDescent="0.35">
      <c r="A379" s="35"/>
      <c r="B379" s="470"/>
      <c r="C379" s="35"/>
      <c r="D379" s="35"/>
      <c r="E379" s="471"/>
      <c r="F379" s="471"/>
      <c r="G379" s="471"/>
      <c r="H379" s="471"/>
      <c r="I379" s="471"/>
      <c r="J379" s="471"/>
      <c r="K379" s="471"/>
      <c r="L379" s="35"/>
      <c r="M379" s="472"/>
      <c r="N379" s="472"/>
      <c r="O379" s="35"/>
      <c r="P379" s="35"/>
      <c r="Q379" s="35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13.5" customHeight="1" x14ac:dyDescent="0.35">
      <c r="A380" s="35"/>
      <c r="B380" s="470"/>
      <c r="C380" s="35"/>
      <c r="D380" s="35"/>
      <c r="E380" s="471"/>
      <c r="F380" s="471"/>
      <c r="G380" s="471"/>
      <c r="H380" s="471"/>
      <c r="I380" s="471"/>
      <c r="J380" s="471"/>
      <c r="K380" s="471"/>
      <c r="L380" s="35"/>
      <c r="M380" s="472"/>
      <c r="N380" s="472"/>
      <c r="O380" s="35"/>
      <c r="P380" s="35"/>
      <c r="Q380" s="35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13.5" customHeight="1" x14ac:dyDescent="0.35">
      <c r="A381" s="35"/>
      <c r="B381" s="470"/>
      <c r="C381" s="35"/>
      <c r="D381" s="35"/>
      <c r="E381" s="471"/>
      <c r="F381" s="471"/>
      <c r="G381" s="471"/>
      <c r="H381" s="471"/>
      <c r="I381" s="471"/>
      <c r="J381" s="471"/>
      <c r="K381" s="471"/>
      <c r="L381" s="35"/>
      <c r="M381" s="472"/>
      <c r="N381" s="472"/>
      <c r="O381" s="35"/>
      <c r="P381" s="35"/>
      <c r="Q381" s="35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13.5" customHeight="1" x14ac:dyDescent="0.35">
      <c r="A382" s="35"/>
      <c r="B382" s="470"/>
      <c r="C382" s="35"/>
      <c r="D382" s="35"/>
      <c r="E382" s="471"/>
      <c r="F382" s="471"/>
      <c r="G382" s="471"/>
      <c r="H382" s="471"/>
      <c r="I382" s="471"/>
      <c r="J382" s="471"/>
      <c r="K382" s="471"/>
      <c r="L382" s="35"/>
      <c r="M382" s="472"/>
      <c r="N382" s="472"/>
      <c r="O382" s="35"/>
      <c r="P382" s="35"/>
      <c r="Q382" s="35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13.5" customHeight="1" x14ac:dyDescent="0.35">
      <c r="A383" s="35"/>
      <c r="B383" s="470"/>
      <c r="C383" s="35"/>
      <c r="D383" s="35"/>
      <c r="E383" s="471"/>
      <c r="F383" s="471"/>
      <c r="G383" s="471"/>
      <c r="H383" s="471"/>
      <c r="I383" s="471"/>
      <c r="J383" s="471"/>
      <c r="K383" s="471"/>
      <c r="L383" s="35"/>
      <c r="M383" s="472"/>
      <c r="N383" s="472"/>
      <c r="O383" s="35"/>
      <c r="P383" s="35"/>
      <c r="Q383" s="35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13.5" customHeight="1" x14ac:dyDescent="0.35">
      <c r="A384" s="35"/>
      <c r="B384" s="470"/>
      <c r="C384" s="35"/>
      <c r="D384" s="35"/>
      <c r="E384" s="471"/>
      <c r="F384" s="471"/>
      <c r="G384" s="471"/>
      <c r="H384" s="471"/>
      <c r="I384" s="471"/>
      <c r="J384" s="471"/>
      <c r="K384" s="471"/>
      <c r="L384" s="35"/>
      <c r="M384" s="472"/>
      <c r="N384" s="472"/>
      <c r="O384" s="35"/>
      <c r="P384" s="35"/>
      <c r="Q384" s="35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13.5" customHeight="1" x14ac:dyDescent="0.35">
      <c r="A385" s="35"/>
      <c r="B385" s="470"/>
      <c r="C385" s="35"/>
      <c r="D385" s="35"/>
      <c r="E385" s="471"/>
      <c r="F385" s="471"/>
      <c r="G385" s="471"/>
      <c r="H385" s="471"/>
      <c r="I385" s="471"/>
      <c r="J385" s="471"/>
      <c r="K385" s="471"/>
      <c r="L385" s="35"/>
      <c r="M385" s="472"/>
      <c r="N385" s="472"/>
      <c r="O385" s="35"/>
      <c r="P385" s="35"/>
      <c r="Q385" s="35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13.5" customHeight="1" x14ac:dyDescent="0.35">
      <c r="A386" s="35"/>
      <c r="B386" s="470"/>
      <c r="C386" s="35"/>
      <c r="D386" s="35"/>
      <c r="E386" s="471"/>
      <c r="F386" s="471"/>
      <c r="G386" s="471"/>
      <c r="H386" s="471"/>
      <c r="I386" s="471"/>
      <c r="J386" s="471"/>
      <c r="K386" s="471"/>
      <c r="L386" s="35"/>
      <c r="M386" s="472"/>
      <c r="N386" s="472"/>
      <c r="O386" s="35"/>
      <c r="P386" s="35"/>
      <c r="Q386" s="35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13.5" customHeight="1" x14ac:dyDescent="0.35">
      <c r="A387" s="35"/>
      <c r="B387" s="470"/>
      <c r="C387" s="35"/>
      <c r="D387" s="35"/>
      <c r="E387" s="471"/>
      <c r="F387" s="471"/>
      <c r="G387" s="471"/>
      <c r="H387" s="471"/>
      <c r="I387" s="471"/>
      <c r="J387" s="471"/>
      <c r="K387" s="471"/>
      <c r="L387" s="35"/>
      <c r="M387" s="472"/>
      <c r="N387" s="472"/>
      <c r="O387" s="35"/>
      <c r="P387" s="35"/>
      <c r="Q387" s="35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13.5" customHeight="1" x14ac:dyDescent="0.35">
      <c r="A388" s="35"/>
      <c r="B388" s="470"/>
      <c r="C388" s="35"/>
      <c r="D388" s="35"/>
      <c r="E388" s="471"/>
      <c r="F388" s="471"/>
      <c r="G388" s="471"/>
      <c r="H388" s="471"/>
      <c r="I388" s="471"/>
      <c r="J388" s="471"/>
      <c r="K388" s="471"/>
      <c r="L388" s="35"/>
      <c r="M388" s="472"/>
      <c r="N388" s="472"/>
      <c r="O388" s="35"/>
      <c r="P388" s="35"/>
      <c r="Q388" s="35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13.5" customHeight="1" x14ac:dyDescent="0.35">
      <c r="A389" s="35"/>
      <c r="B389" s="470"/>
      <c r="C389" s="35"/>
      <c r="D389" s="35"/>
      <c r="E389" s="471"/>
      <c r="F389" s="471"/>
      <c r="G389" s="471"/>
      <c r="H389" s="471"/>
      <c r="I389" s="471"/>
      <c r="J389" s="471"/>
      <c r="K389" s="471"/>
      <c r="L389" s="35"/>
      <c r="M389" s="472"/>
      <c r="N389" s="472"/>
      <c r="O389" s="35"/>
      <c r="P389" s="35"/>
      <c r="Q389" s="35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13.5" customHeight="1" x14ac:dyDescent="0.35">
      <c r="A390" s="35"/>
      <c r="B390" s="470"/>
      <c r="C390" s="35"/>
      <c r="D390" s="35"/>
      <c r="E390" s="471"/>
      <c r="F390" s="471"/>
      <c r="G390" s="471"/>
      <c r="H390" s="471"/>
      <c r="I390" s="471"/>
      <c r="J390" s="471"/>
      <c r="K390" s="471"/>
      <c r="L390" s="35"/>
      <c r="M390" s="472"/>
      <c r="N390" s="472"/>
      <c r="O390" s="35"/>
      <c r="P390" s="35"/>
      <c r="Q390" s="35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13.5" customHeight="1" x14ac:dyDescent="0.35">
      <c r="A391" s="35"/>
      <c r="B391" s="470"/>
      <c r="C391" s="35"/>
      <c r="D391" s="35"/>
      <c r="E391" s="471"/>
      <c r="F391" s="471"/>
      <c r="G391" s="471"/>
      <c r="H391" s="471"/>
      <c r="I391" s="471"/>
      <c r="J391" s="471"/>
      <c r="K391" s="471"/>
      <c r="L391" s="35"/>
      <c r="M391" s="472"/>
      <c r="N391" s="472"/>
      <c r="O391" s="35"/>
      <c r="P391" s="35"/>
      <c r="Q391" s="35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13.5" customHeight="1" x14ac:dyDescent="0.35">
      <c r="A392" s="35"/>
      <c r="B392" s="470"/>
      <c r="C392" s="35"/>
      <c r="D392" s="35"/>
      <c r="E392" s="471"/>
      <c r="F392" s="471"/>
      <c r="G392" s="471"/>
      <c r="H392" s="471"/>
      <c r="I392" s="471"/>
      <c r="J392" s="471"/>
      <c r="K392" s="471"/>
      <c r="L392" s="35"/>
      <c r="M392" s="472"/>
      <c r="N392" s="472"/>
      <c r="O392" s="35"/>
      <c r="P392" s="35"/>
      <c r="Q392" s="35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13.5" customHeight="1" x14ac:dyDescent="0.35">
      <c r="A393" s="35"/>
      <c r="B393" s="470"/>
      <c r="C393" s="35"/>
      <c r="D393" s="35"/>
      <c r="E393" s="471"/>
      <c r="F393" s="471"/>
      <c r="G393" s="471"/>
      <c r="H393" s="471"/>
      <c r="I393" s="471"/>
      <c r="J393" s="471"/>
      <c r="K393" s="471"/>
      <c r="L393" s="35"/>
      <c r="M393" s="472"/>
      <c r="N393" s="472"/>
      <c r="O393" s="35"/>
      <c r="P393" s="35"/>
      <c r="Q393" s="35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13.5" customHeight="1" x14ac:dyDescent="0.35">
      <c r="A394" s="35"/>
      <c r="B394" s="470"/>
      <c r="C394" s="35"/>
      <c r="D394" s="35"/>
      <c r="E394" s="471"/>
      <c r="F394" s="471"/>
      <c r="G394" s="471"/>
      <c r="H394" s="471"/>
      <c r="I394" s="471"/>
      <c r="J394" s="471"/>
      <c r="K394" s="471"/>
      <c r="L394" s="35"/>
      <c r="M394" s="472"/>
      <c r="N394" s="472"/>
      <c r="O394" s="35"/>
      <c r="P394" s="35"/>
      <c r="Q394" s="35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13.5" customHeight="1" x14ac:dyDescent="0.35">
      <c r="A395" s="35"/>
      <c r="B395" s="470"/>
      <c r="C395" s="35"/>
      <c r="D395" s="35"/>
      <c r="E395" s="471"/>
      <c r="F395" s="471"/>
      <c r="G395" s="471"/>
      <c r="H395" s="471"/>
      <c r="I395" s="471"/>
      <c r="J395" s="471"/>
      <c r="K395" s="471"/>
      <c r="L395" s="35"/>
      <c r="M395" s="472"/>
      <c r="N395" s="472"/>
      <c r="O395" s="35"/>
      <c r="P395" s="35"/>
      <c r="Q395" s="35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13.5" customHeight="1" x14ac:dyDescent="0.35">
      <c r="A396" s="35"/>
      <c r="B396" s="470"/>
      <c r="C396" s="35"/>
      <c r="D396" s="35"/>
      <c r="E396" s="471"/>
      <c r="F396" s="471"/>
      <c r="G396" s="471"/>
      <c r="H396" s="471"/>
      <c r="I396" s="471"/>
      <c r="J396" s="471"/>
      <c r="K396" s="471"/>
      <c r="L396" s="35"/>
      <c r="M396" s="472"/>
      <c r="N396" s="472"/>
      <c r="O396" s="35"/>
      <c r="P396" s="35"/>
      <c r="Q396" s="35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13.5" customHeight="1" x14ac:dyDescent="0.35">
      <c r="A397" s="35"/>
      <c r="B397" s="470"/>
      <c r="C397" s="35"/>
      <c r="D397" s="35"/>
      <c r="E397" s="471"/>
      <c r="F397" s="471"/>
      <c r="G397" s="471"/>
      <c r="H397" s="471"/>
      <c r="I397" s="471"/>
      <c r="J397" s="471"/>
      <c r="K397" s="471"/>
      <c r="L397" s="35"/>
      <c r="M397" s="472"/>
      <c r="N397" s="472"/>
      <c r="O397" s="35"/>
      <c r="P397" s="35"/>
      <c r="Q397" s="35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13.5" customHeight="1" x14ac:dyDescent="0.35">
      <c r="A398" s="35"/>
      <c r="B398" s="470"/>
      <c r="C398" s="35"/>
      <c r="D398" s="35"/>
      <c r="E398" s="471"/>
      <c r="F398" s="471"/>
      <c r="G398" s="471"/>
      <c r="H398" s="471"/>
      <c r="I398" s="471"/>
      <c r="J398" s="471"/>
      <c r="K398" s="471"/>
      <c r="L398" s="35"/>
      <c r="M398" s="472"/>
      <c r="N398" s="472"/>
      <c r="O398" s="35"/>
      <c r="P398" s="35"/>
      <c r="Q398" s="35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13.5" customHeight="1" x14ac:dyDescent="0.35">
      <c r="A399" s="35"/>
      <c r="B399" s="470"/>
      <c r="C399" s="35"/>
      <c r="D399" s="35"/>
      <c r="E399" s="471"/>
      <c r="F399" s="471"/>
      <c r="G399" s="471"/>
      <c r="H399" s="471"/>
      <c r="I399" s="471"/>
      <c r="J399" s="471"/>
      <c r="K399" s="471"/>
      <c r="L399" s="35"/>
      <c r="M399" s="472"/>
      <c r="N399" s="472"/>
      <c r="O399" s="35"/>
      <c r="P399" s="35"/>
      <c r="Q399" s="35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13.5" customHeight="1" x14ac:dyDescent="0.35">
      <c r="A400" s="35"/>
      <c r="B400" s="470"/>
      <c r="C400" s="35"/>
      <c r="D400" s="35"/>
      <c r="E400" s="471"/>
      <c r="F400" s="471"/>
      <c r="G400" s="471"/>
      <c r="H400" s="471"/>
      <c r="I400" s="471"/>
      <c r="J400" s="471"/>
      <c r="K400" s="471"/>
      <c r="L400" s="35"/>
      <c r="M400" s="472"/>
      <c r="N400" s="472"/>
      <c r="O400" s="35"/>
      <c r="P400" s="35"/>
      <c r="Q400" s="35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13.5" customHeight="1" x14ac:dyDescent="0.35">
      <c r="A401" s="35"/>
      <c r="B401" s="470"/>
      <c r="C401" s="35"/>
      <c r="D401" s="35"/>
      <c r="E401" s="471"/>
      <c r="F401" s="471"/>
      <c r="G401" s="471"/>
      <c r="H401" s="471"/>
      <c r="I401" s="471"/>
      <c r="J401" s="471"/>
      <c r="K401" s="471"/>
      <c r="L401" s="35"/>
      <c r="M401" s="472"/>
      <c r="N401" s="472"/>
      <c r="O401" s="35"/>
      <c r="P401" s="35"/>
      <c r="Q401" s="35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13.5" customHeight="1" x14ac:dyDescent="0.35">
      <c r="A402" s="35"/>
      <c r="B402" s="470"/>
      <c r="C402" s="35"/>
      <c r="D402" s="35"/>
      <c r="E402" s="471"/>
      <c r="F402" s="471"/>
      <c r="G402" s="471"/>
      <c r="H402" s="471"/>
      <c r="I402" s="471"/>
      <c r="J402" s="471"/>
      <c r="K402" s="471"/>
      <c r="L402" s="35"/>
      <c r="M402" s="472"/>
      <c r="N402" s="472"/>
      <c r="O402" s="35"/>
      <c r="P402" s="35"/>
      <c r="Q402" s="35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13.5" customHeight="1" x14ac:dyDescent="0.35">
      <c r="A403" s="35"/>
      <c r="B403" s="470"/>
      <c r="C403" s="35"/>
      <c r="D403" s="35"/>
      <c r="E403" s="471"/>
      <c r="F403" s="471"/>
      <c r="G403" s="471"/>
      <c r="H403" s="471"/>
      <c r="I403" s="471"/>
      <c r="J403" s="471"/>
      <c r="K403" s="471"/>
      <c r="L403" s="35"/>
      <c r="M403" s="472"/>
      <c r="N403" s="472"/>
      <c r="O403" s="35"/>
      <c r="P403" s="35"/>
      <c r="Q403" s="35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13.5" customHeight="1" x14ac:dyDescent="0.35">
      <c r="A404" s="35"/>
      <c r="B404" s="470"/>
      <c r="C404" s="35"/>
      <c r="D404" s="35"/>
      <c r="E404" s="471"/>
      <c r="F404" s="471"/>
      <c r="G404" s="471"/>
      <c r="H404" s="471"/>
      <c r="I404" s="471"/>
      <c r="J404" s="471"/>
      <c r="K404" s="471"/>
      <c r="L404" s="35"/>
      <c r="M404" s="472"/>
      <c r="N404" s="472"/>
      <c r="O404" s="35"/>
      <c r="P404" s="35"/>
      <c r="Q404" s="35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13.5" customHeight="1" x14ac:dyDescent="0.35">
      <c r="A405" s="35"/>
      <c r="B405" s="470"/>
      <c r="C405" s="35"/>
      <c r="D405" s="35"/>
      <c r="E405" s="471"/>
      <c r="F405" s="471"/>
      <c r="G405" s="471"/>
      <c r="H405" s="471"/>
      <c r="I405" s="471"/>
      <c r="J405" s="471"/>
      <c r="K405" s="471"/>
      <c r="L405" s="35"/>
      <c r="M405" s="472"/>
      <c r="N405" s="472"/>
      <c r="O405" s="35"/>
      <c r="P405" s="35"/>
      <c r="Q405" s="35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13.5" customHeight="1" x14ac:dyDescent="0.35">
      <c r="A406" s="35"/>
      <c r="B406" s="470"/>
      <c r="C406" s="35"/>
      <c r="D406" s="35"/>
      <c r="E406" s="471"/>
      <c r="F406" s="471"/>
      <c r="G406" s="471"/>
      <c r="H406" s="471"/>
      <c r="I406" s="471"/>
      <c r="J406" s="471"/>
      <c r="K406" s="471"/>
      <c r="L406" s="35"/>
      <c r="M406" s="472"/>
      <c r="N406" s="472"/>
      <c r="O406" s="35"/>
      <c r="P406" s="35"/>
      <c r="Q406" s="35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13.5" customHeight="1" x14ac:dyDescent="0.35">
      <c r="A407" s="35"/>
      <c r="B407" s="470"/>
      <c r="C407" s="35"/>
      <c r="D407" s="35"/>
      <c r="E407" s="471"/>
      <c r="F407" s="471"/>
      <c r="G407" s="471"/>
      <c r="H407" s="471"/>
      <c r="I407" s="471"/>
      <c r="J407" s="471"/>
      <c r="K407" s="471"/>
      <c r="L407" s="35"/>
      <c r="M407" s="472"/>
      <c r="N407" s="472"/>
      <c r="O407" s="35"/>
      <c r="P407" s="35"/>
      <c r="Q407" s="35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13.5" customHeight="1" x14ac:dyDescent="0.35">
      <c r="A408" s="35"/>
      <c r="B408" s="470"/>
      <c r="C408" s="35"/>
      <c r="D408" s="35"/>
      <c r="E408" s="471"/>
      <c r="F408" s="471"/>
      <c r="G408" s="471"/>
      <c r="H408" s="471"/>
      <c r="I408" s="471"/>
      <c r="J408" s="471"/>
      <c r="K408" s="471"/>
      <c r="L408" s="35"/>
      <c r="M408" s="472"/>
      <c r="N408" s="472"/>
      <c r="O408" s="35"/>
      <c r="P408" s="35"/>
      <c r="Q408" s="35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13.5" customHeight="1" x14ac:dyDescent="0.35">
      <c r="A409" s="35"/>
      <c r="B409" s="470"/>
      <c r="C409" s="35"/>
      <c r="D409" s="35"/>
      <c r="E409" s="471"/>
      <c r="F409" s="471"/>
      <c r="G409" s="471"/>
      <c r="H409" s="471"/>
      <c r="I409" s="471"/>
      <c r="J409" s="471"/>
      <c r="K409" s="471"/>
      <c r="L409" s="35"/>
      <c r="M409" s="472"/>
      <c r="N409" s="472"/>
      <c r="O409" s="35"/>
      <c r="P409" s="35"/>
      <c r="Q409" s="35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13.5" customHeight="1" x14ac:dyDescent="0.35">
      <c r="A410" s="35"/>
      <c r="B410" s="470"/>
      <c r="C410" s="35"/>
      <c r="D410" s="35"/>
      <c r="E410" s="471"/>
      <c r="F410" s="471"/>
      <c r="G410" s="471"/>
      <c r="H410" s="471"/>
      <c r="I410" s="471"/>
      <c r="J410" s="471"/>
      <c r="K410" s="471"/>
      <c r="L410" s="35"/>
      <c r="M410" s="472"/>
      <c r="N410" s="472"/>
      <c r="O410" s="35"/>
      <c r="P410" s="35"/>
      <c r="Q410" s="35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13.5" customHeight="1" x14ac:dyDescent="0.35">
      <c r="A411" s="35"/>
      <c r="B411" s="470"/>
      <c r="C411" s="35"/>
      <c r="D411" s="35"/>
      <c r="E411" s="471"/>
      <c r="F411" s="471"/>
      <c r="G411" s="471"/>
      <c r="H411" s="471"/>
      <c r="I411" s="471"/>
      <c r="J411" s="471"/>
      <c r="K411" s="471"/>
      <c r="L411" s="35"/>
      <c r="M411" s="472"/>
      <c r="N411" s="472"/>
      <c r="O411" s="35"/>
      <c r="P411" s="35"/>
      <c r="Q411" s="35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13.5" customHeight="1" x14ac:dyDescent="0.35">
      <c r="A412" s="35"/>
      <c r="B412" s="470"/>
      <c r="C412" s="35"/>
      <c r="D412" s="35"/>
      <c r="E412" s="471"/>
      <c r="F412" s="471"/>
      <c r="G412" s="471"/>
      <c r="H412" s="471"/>
      <c r="I412" s="471"/>
      <c r="J412" s="471"/>
      <c r="K412" s="471"/>
      <c r="L412" s="35"/>
      <c r="M412" s="472"/>
      <c r="N412" s="472"/>
      <c r="O412" s="35"/>
      <c r="P412" s="35"/>
      <c r="Q412" s="35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13.5" customHeight="1" x14ac:dyDescent="0.35">
      <c r="A413" s="35"/>
      <c r="B413" s="470"/>
      <c r="C413" s="35"/>
      <c r="D413" s="35"/>
      <c r="E413" s="471"/>
      <c r="F413" s="471"/>
      <c r="G413" s="471"/>
      <c r="H413" s="471"/>
      <c r="I413" s="471"/>
      <c r="J413" s="471"/>
      <c r="K413" s="471"/>
      <c r="L413" s="35"/>
      <c r="M413" s="472"/>
      <c r="N413" s="472"/>
      <c r="O413" s="35"/>
      <c r="P413" s="35"/>
      <c r="Q413" s="35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13.5" customHeight="1" x14ac:dyDescent="0.35">
      <c r="A414" s="35"/>
      <c r="B414" s="470"/>
      <c r="C414" s="35"/>
      <c r="D414" s="35"/>
      <c r="E414" s="471"/>
      <c r="F414" s="471"/>
      <c r="G414" s="471"/>
      <c r="H414" s="471"/>
      <c r="I414" s="471"/>
      <c r="J414" s="471"/>
      <c r="K414" s="471"/>
      <c r="L414" s="35"/>
      <c r="M414" s="472"/>
      <c r="N414" s="472"/>
      <c r="O414" s="35"/>
      <c r="P414" s="35"/>
      <c r="Q414" s="35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13.5" customHeight="1" x14ac:dyDescent="0.35">
      <c r="A415" s="35"/>
      <c r="B415" s="470"/>
      <c r="C415" s="35"/>
      <c r="D415" s="35"/>
      <c r="E415" s="471"/>
      <c r="F415" s="471"/>
      <c r="G415" s="471"/>
      <c r="H415" s="471"/>
      <c r="I415" s="471"/>
      <c r="J415" s="471"/>
      <c r="K415" s="471"/>
      <c r="L415" s="35"/>
      <c r="M415" s="472"/>
      <c r="N415" s="472"/>
      <c r="O415" s="35"/>
      <c r="P415" s="35"/>
      <c r="Q415" s="35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13.5" customHeight="1" x14ac:dyDescent="0.35">
      <c r="A416" s="35"/>
      <c r="B416" s="470"/>
      <c r="C416" s="35"/>
      <c r="D416" s="35"/>
      <c r="E416" s="471"/>
      <c r="F416" s="471"/>
      <c r="G416" s="471"/>
      <c r="H416" s="471"/>
      <c r="I416" s="471"/>
      <c r="J416" s="471"/>
      <c r="K416" s="471"/>
      <c r="L416" s="35"/>
      <c r="M416" s="472"/>
      <c r="N416" s="472"/>
      <c r="O416" s="35"/>
      <c r="P416" s="35"/>
      <c r="Q416" s="35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13.5" customHeight="1" x14ac:dyDescent="0.35">
      <c r="A417" s="35"/>
      <c r="B417" s="470"/>
      <c r="C417" s="35"/>
      <c r="D417" s="35"/>
      <c r="E417" s="471"/>
      <c r="F417" s="471"/>
      <c r="G417" s="471"/>
      <c r="H417" s="471"/>
      <c r="I417" s="471"/>
      <c r="J417" s="471"/>
      <c r="K417" s="471"/>
      <c r="L417" s="35"/>
      <c r="M417" s="472"/>
      <c r="N417" s="472"/>
      <c r="O417" s="35"/>
      <c r="P417" s="35"/>
      <c r="Q417" s="35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13.5" customHeight="1" x14ac:dyDescent="0.35">
      <c r="A418" s="35"/>
      <c r="B418" s="470"/>
      <c r="C418" s="35"/>
      <c r="D418" s="35"/>
      <c r="E418" s="471"/>
      <c r="F418" s="471"/>
      <c r="G418" s="471"/>
      <c r="H418" s="471"/>
      <c r="I418" s="471"/>
      <c r="J418" s="471"/>
      <c r="K418" s="471"/>
      <c r="L418" s="35"/>
      <c r="M418" s="472"/>
      <c r="N418" s="472"/>
      <c r="O418" s="35"/>
      <c r="P418" s="35"/>
      <c r="Q418" s="35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13.5" customHeight="1" x14ac:dyDescent="0.35">
      <c r="A419" s="35"/>
      <c r="B419" s="470"/>
      <c r="C419" s="35"/>
      <c r="D419" s="35"/>
      <c r="E419" s="471"/>
      <c r="F419" s="471"/>
      <c r="G419" s="471"/>
      <c r="H419" s="471"/>
      <c r="I419" s="471"/>
      <c r="J419" s="471"/>
      <c r="K419" s="471"/>
      <c r="L419" s="35"/>
      <c r="M419" s="472"/>
      <c r="N419" s="472"/>
      <c r="O419" s="35"/>
      <c r="P419" s="35"/>
      <c r="Q419" s="35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13.5" customHeight="1" x14ac:dyDescent="0.35">
      <c r="A420" s="35"/>
      <c r="B420" s="470"/>
      <c r="C420" s="35"/>
      <c r="D420" s="35"/>
      <c r="E420" s="471"/>
      <c r="F420" s="471"/>
      <c r="G420" s="471"/>
      <c r="H420" s="471"/>
      <c r="I420" s="471"/>
      <c r="J420" s="471"/>
      <c r="K420" s="471"/>
      <c r="L420" s="35"/>
      <c r="M420" s="472"/>
      <c r="N420" s="472"/>
      <c r="O420" s="35"/>
      <c r="P420" s="35"/>
      <c r="Q420" s="35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13.5" customHeight="1" x14ac:dyDescent="0.35">
      <c r="A421" s="35"/>
      <c r="B421" s="470"/>
      <c r="C421" s="35"/>
      <c r="D421" s="35"/>
      <c r="E421" s="471"/>
      <c r="F421" s="471"/>
      <c r="G421" s="471"/>
      <c r="H421" s="471"/>
      <c r="I421" s="471"/>
      <c r="J421" s="471"/>
      <c r="K421" s="471"/>
      <c r="L421" s="35"/>
      <c r="M421" s="472"/>
      <c r="N421" s="472"/>
      <c r="O421" s="35"/>
      <c r="P421" s="35"/>
      <c r="Q421" s="35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13.5" customHeight="1" x14ac:dyDescent="0.35">
      <c r="A422" s="35"/>
      <c r="B422" s="470"/>
      <c r="C422" s="35"/>
      <c r="D422" s="35"/>
      <c r="E422" s="471"/>
      <c r="F422" s="471"/>
      <c r="G422" s="471"/>
      <c r="H422" s="471"/>
      <c r="I422" s="471"/>
      <c r="J422" s="471"/>
      <c r="K422" s="471"/>
      <c r="L422" s="35"/>
      <c r="M422" s="472"/>
      <c r="N422" s="472"/>
      <c r="O422" s="35"/>
      <c r="P422" s="35"/>
      <c r="Q422" s="35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13.5" customHeight="1" x14ac:dyDescent="0.35">
      <c r="A423" s="35"/>
      <c r="B423" s="470"/>
      <c r="C423" s="35"/>
      <c r="D423" s="35"/>
      <c r="E423" s="471"/>
      <c r="F423" s="471"/>
      <c r="G423" s="471"/>
      <c r="H423" s="471"/>
      <c r="I423" s="471"/>
      <c r="J423" s="471"/>
      <c r="K423" s="471"/>
      <c r="L423" s="35"/>
      <c r="M423" s="472"/>
      <c r="N423" s="472"/>
      <c r="O423" s="35"/>
      <c r="P423" s="35"/>
      <c r="Q423" s="35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13.5" customHeight="1" x14ac:dyDescent="0.35">
      <c r="A424" s="35"/>
      <c r="B424" s="470"/>
      <c r="C424" s="35"/>
      <c r="D424" s="35"/>
      <c r="E424" s="471"/>
      <c r="F424" s="471"/>
      <c r="G424" s="471"/>
      <c r="H424" s="471"/>
      <c r="I424" s="471"/>
      <c r="J424" s="471"/>
      <c r="K424" s="471"/>
      <c r="L424" s="35"/>
      <c r="M424" s="472"/>
      <c r="N424" s="472"/>
      <c r="O424" s="35"/>
      <c r="P424" s="35"/>
      <c r="Q424" s="35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13.5" customHeight="1" x14ac:dyDescent="0.35">
      <c r="A425" s="35"/>
      <c r="B425" s="470"/>
      <c r="C425" s="35"/>
      <c r="D425" s="35"/>
      <c r="E425" s="471"/>
      <c r="F425" s="471"/>
      <c r="G425" s="471"/>
      <c r="H425" s="471"/>
      <c r="I425" s="471"/>
      <c r="J425" s="471"/>
      <c r="K425" s="471"/>
      <c r="L425" s="35"/>
      <c r="M425" s="472"/>
      <c r="N425" s="472"/>
      <c r="O425" s="35"/>
      <c r="P425" s="35"/>
      <c r="Q425" s="35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13.5" customHeight="1" x14ac:dyDescent="0.35">
      <c r="A426" s="35"/>
      <c r="B426" s="470"/>
      <c r="C426" s="35"/>
      <c r="D426" s="35"/>
      <c r="E426" s="471"/>
      <c r="F426" s="471"/>
      <c r="G426" s="471"/>
      <c r="H426" s="471"/>
      <c r="I426" s="471"/>
      <c r="J426" s="471"/>
      <c r="K426" s="471"/>
      <c r="L426" s="35"/>
      <c r="M426" s="472"/>
      <c r="N426" s="472"/>
      <c r="O426" s="35"/>
      <c r="P426" s="35"/>
      <c r="Q426" s="35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13.5" customHeight="1" x14ac:dyDescent="0.35">
      <c r="A427" s="35"/>
      <c r="B427" s="470"/>
      <c r="C427" s="35"/>
      <c r="D427" s="35"/>
      <c r="E427" s="471"/>
      <c r="F427" s="471"/>
      <c r="G427" s="471"/>
      <c r="H427" s="471"/>
      <c r="I427" s="471"/>
      <c r="J427" s="471"/>
      <c r="K427" s="471"/>
      <c r="L427" s="35"/>
      <c r="M427" s="472"/>
      <c r="N427" s="472"/>
      <c r="O427" s="35"/>
      <c r="P427" s="35"/>
      <c r="Q427" s="35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13.5" customHeight="1" x14ac:dyDescent="0.35">
      <c r="A428" s="35"/>
      <c r="B428" s="470"/>
      <c r="C428" s="35"/>
      <c r="D428" s="35"/>
      <c r="E428" s="471"/>
      <c r="F428" s="471"/>
      <c r="G428" s="471"/>
      <c r="H428" s="471"/>
      <c r="I428" s="471"/>
      <c r="J428" s="471"/>
      <c r="K428" s="471"/>
      <c r="L428" s="35"/>
      <c r="M428" s="472"/>
      <c r="N428" s="472"/>
      <c r="O428" s="35"/>
      <c r="P428" s="35"/>
      <c r="Q428" s="35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13.5" customHeight="1" x14ac:dyDescent="0.35">
      <c r="A429" s="35"/>
      <c r="B429" s="470"/>
      <c r="C429" s="35"/>
      <c r="D429" s="35"/>
      <c r="E429" s="471"/>
      <c r="F429" s="471"/>
      <c r="G429" s="471"/>
      <c r="H429" s="471"/>
      <c r="I429" s="471"/>
      <c r="J429" s="471"/>
      <c r="K429" s="471"/>
      <c r="L429" s="35"/>
      <c r="M429" s="472"/>
      <c r="N429" s="472"/>
      <c r="O429" s="35"/>
      <c r="P429" s="35"/>
      <c r="Q429" s="35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13.5" customHeight="1" x14ac:dyDescent="0.35">
      <c r="A430" s="35"/>
      <c r="B430" s="470"/>
      <c r="C430" s="35"/>
      <c r="D430" s="35"/>
      <c r="E430" s="471"/>
      <c r="F430" s="471"/>
      <c r="G430" s="471"/>
      <c r="H430" s="471"/>
      <c r="I430" s="471"/>
      <c r="J430" s="471"/>
      <c r="K430" s="471"/>
      <c r="L430" s="35"/>
      <c r="M430" s="472"/>
      <c r="N430" s="472"/>
      <c r="O430" s="35"/>
      <c r="P430" s="35"/>
      <c r="Q430" s="35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13.5" customHeight="1" x14ac:dyDescent="0.35">
      <c r="A431" s="35"/>
      <c r="B431" s="470"/>
      <c r="C431" s="35"/>
      <c r="D431" s="35"/>
      <c r="E431" s="471"/>
      <c r="F431" s="471"/>
      <c r="G431" s="471"/>
      <c r="H431" s="471"/>
      <c r="I431" s="471"/>
      <c r="J431" s="471"/>
      <c r="K431" s="471"/>
      <c r="L431" s="35"/>
      <c r="M431" s="472"/>
      <c r="N431" s="472"/>
      <c r="O431" s="35"/>
      <c r="P431" s="35"/>
      <c r="Q431" s="35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13.5" customHeight="1" x14ac:dyDescent="0.35">
      <c r="A432" s="35"/>
      <c r="B432" s="470"/>
      <c r="C432" s="35"/>
      <c r="D432" s="35"/>
      <c r="E432" s="471"/>
      <c r="F432" s="471"/>
      <c r="G432" s="471"/>
      <c r="H432" s="471"/>
      <c r="I432" s="471"/>
      <c r="J432" s="471"/>
      <c r="K432" s="471"/>
      <c r="L432" s="35"/>
      <c r="M432" s="472"/>
      <c r="N432" s="472"/>
      <c r="O432" s="35"/>
      <c r="P432" s="35"/>
      <c r="Q432" s="35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13.5" customHeight="1" x14ac:dyDescent="0.35">
      <c r="A433" s="35"/>
      <c r="B433" s="470"/>
      <c r="C433" s="35"/>
      <c r="D433" s="35"/>
      <c r="E433" s="471"/>
      <c r="F433" s="471"/>
      <c r="G433" s="471"/>
      <c r="H433" s="471"/>
      <c r="I433" s="471"/>
      <c r="J433" s="471"/>
      <c r="K433" s="471"/>
      <c r="L433" s="35"/>
      <c r="M433" s="472"/>
      <c r="N433" s="472"/>
      <c r="O433" s="35"/>
      <c r="P433" s="35"/>
      <c r="Q433" s="35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13.5" customHeight="1" x14ac:dyDescent="0.35">
      <c r="A434" s="35"/>
      <c r="B434" s="470"/>
      <c r="C434" s="35"/>
      <c r="D434" s="35"/>
      <c r="E434" s="471"/>
      <c r="F434" s="471"/>
      <c r="G434" s="471"/>
      <c r="H434" s="471"/>
      <c r="I434" s="471"/>
      <c r="J434" s="471"/>
      <c r="K434" s="471"/>
      <c r="L434" s="35"/>
      <c r="M434" s="472"/>
      <c r="N434" s="472"/>
      <c r="O434" s="35"/>
      <c r="P434" s="35"/>
      <c r="Q434" s="35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13.5" customHeight="1" x14ac:dyDescent="0.35">
      <c r="A435" s="35"/>
      <c r="B435" s="470"/>
      <c r="C435" s="35"/>
      <c r="D435" s="35"/>
      <c r="E435" s="471"/>
      <c r="F435" s="471"/>
      <c r="G435" s="471"/>
      <c r="H435" s="471"/>
      <c r="I435" s="471"/>
      <c r="J435" s="471"/>
      <c r="K435" s="471"/>
      <c r="L435" s="35"/>
      <c r="M435" s="472"/>
      <c r="N435" s="472"/>
      <c r="O435" s="35"/>
      <c r="P435" s="35"/>
      <c r="Q435" s="35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13.5" customHeight="1" x14ac:dyDescent="0.35">
      <c r="A436" s="35"/>
      <c r="B436" s="470"/>
      <c r="C436" s="35"/>
      <c r="D436" s="35"/>
      <c r="E436" s="471"/>
      <c r="F436" s="471"/>
      <c r="G436" s="471"/>
      <c r="H436" s="471"/>
      <c r="I436" s="471"/>
      <c r="J436" s="471"/>
      <c r="K436" s="471"/>
      <c r="L436" s="35"/>
      <c r="M436" s="472"/>
      <c r="N436" s="472"/>
      <c r="O436" s="35"/>
      <c r="P436" s="35"/>
      <c r="Q436" s="35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13.5" customHeight="1" x14ac:dyDescent="0.35">
      <c r="A437" s="35"/>
      <c r="B437" s="470"/>
      <c r="C437" s="35"/>
      <c r="D437" s="35"/>
      <c r="E437" s="471"/>
      <c r="F437" s="471"/>
      <c r="G437" s="471"/>
      <c r="H437" s="471"/>
      <c r="I437" s="471"/>
      <c r="J437" s="471"/>
      <c r="K437" s="471"/>
      <c r="L437" s="35"/>
      <c r="M437" s="472"/>
      <c r="N437" s="472"/>
      <c r="O437" s="35"/>
      <c r="P437" s="35"/>
      <c r="Q437" s="35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13.5" customHeight="1" x14ac:dyDescent="0.35">
      <c r="A438" s="35"/>
      <c r="B438" s="470"/>
      <c r="C438" s="35"/>
      <c r="D438" s="35"/>
      <c r="E438" s="471"/>
      <c r="F438" s="471"/>
      <c r="G438" s="471"/>
      <c r="H438" s="471"/>
      <c r="I438" s="471"/>
      <c r="J438" s="471"/>
      <c r="K438" s="471"/>
      <c r="L438" s="35"/>
      <c r="M438" s="472"/>
      <c r="N438" s="472"/>
      <c r="O438" s="35"/>
      <c r="P438" s="35"/>
      <c r="Q438" s="35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13.5" customHeight="1" x14ac:dyDescent="0.35">
      <c r="A439" s="35"/>
      <c r="B439" s="470"/>
      <c r="C439" s="35"/>
      <c r="D439" s="35"/>
      <c r="E439" s="471"/>
      <c r="F439" s="471"/>
      <c r="G439" s="471"/>
      <c r="H439" s="471"/>
      <c r="I439" s="471"/>
      <c r="J439" s="471"/>
      <c r="K439" s="471"/>
      <c r="L439" s="35"/>
      <c r="M439" s="472"/>
      <c r="N439" s="472"/>
      <c r="O439" s="35"/>
      <c r="P439" s="35"/>
      <c r="Q439" s="35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13.5" customHeight="1" x14ac:dyDescent="0.35">
      <c r="A440" s="35"/>
      <c r="B440" s="470"/>
      <c r="C440" s="35"/>
      <c r="D440" s="35"/>
      <c r="E440" s="471"/>
      <c r="F440" s="471"/>
      <c r="G440" s="471"/>
      <c r="H440" s="471"/>
      <c r="I440" s="471"/>
      <c r="J440" s="471"/>
      <c r="K440" s="471"/>
      <c r="L440" s="35"/>
      <c r="M440" s="472"/>
      <c r="N440" s="472"/>
      <c r="O440" s="35"/>
      <c r="P440" s="35"/>
      <c r="Q440" s="35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13.5" customHeight="1" x14ac:dyDescent="0.35">
      <c r="A441" s="35"/>
      <c r="B441" s="470"/>
      <c r="C441" s="35"/>
      <c r="D441" s="35"/>
      <c r="E441" s="471"/>
      <c r="F441" s="471"/>
      <c r="G441" s="471"/>
      <c r="H441" s="471"/>
      <c r="I441" s="471"/>
      <c r="J441" s="471"/>
      <c r="K441" s="471"/>
      <c r="L441" s="35"/>
      <c r="M441" s="472"/>
      <c r="N441" s="472"/>
      <c r="O441" s="35"/>
      <c r="P441" s="35"/>
      <c r="Q441" s="35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13.5" customHeight="1" x14ac:dyDescent="0.35">
      <c r="A442" s="35"/>
      <c r="B442" s="470"/>
      <c r="C442" s="35"/>
      <c r="D442" s="35"/>
      <c r="E442" s="471"/>
      <c r="F442" s="471"/>
      <c r="G442" s="471"/>
      <c r="H442" s="471"/>
      <c r="I442" s="471"/>
      <c r="J442" s="471"/>
      <c r="K442" s="471"/>
      <c r="L442" s="35"/>
      <c r="M442" s="472"/>
      <c r="N442" s="472"/>
      <c r="O442" s="35"/>
      <c r="P442" s="35"/>
      <c r="Q442" s="35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13.5" customHeight="1" x14ac:dyDescent="0.35">
      <c r="A443" s="35"/>
      <c r="B443" s="470"/>
      <c r="C443" s="35"/>
      <c r="D443" s="35"/>
      <c r="E443" s="471"/>
      <c r="F443" s="471"/>
      <c r="G443" s="471"/>
      <c r="H443" s="471"/>
      <c r="I443" s="471"/>
      <c r="J443" s="471"/>
      <c r="K443" s="471"/>
      <c r="L443" s="35"/>
      <c r="M443" s="472"/>
      <c r="N443" s="472"/>
      <c r="O443" s="35"/>
      <c r="P443" s="35"/>
      <c r="Q443" s="35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13.5" customHeight="1" x14ac:dyDescent="0.35">
      <c r="A444" s="35"/>
      <c r="B444" s="470"/>
      <c r="C444" s="35"/>
      <c r="D444" s="35"/>
      <c r="E444" s="471"/>
      <c r="F444" s="471"/>
      <c r="G444" s="471"/>
      <c r="H444" s="471"/>
      <c r="I444" s="471"/>
      <c r="J444" s="471"/>
      <c r="K444" s="471"/>
      <c r="L444" s="35"/>
      <c r="M444" s="472"/>
      <c r="N444" s="472"/>
      <c r="O444" s="35"/>
      <c r="P444" s="35"/>
      <c r="Q444" s="35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13.5" customHeight="1" x14ac:dyDescent="0.35">
      <c r="A445" s="35"/>
      <c r="B445" s="470"/>
      <c r="C445" s="35"/>
      <c r="D445" s="35"/>
      <c r="E445" s="471"/>
      <c r="F445" s="471"/>
      <c r="G445" s="471"/>
      <c r="H445" s="471"/>
      <c r="I445" s="471"/>
      <c r="J445" s="471"/>
      <c r="K445" s="471"/>
      <c r="L445" s="35"/>
      <c r="M445" s="472"/>
      <c r="N445" s="472"/>
      <c r="O445" s="35"/>
      <c r="P445" s="35"/>
      <c r="Q445" s="35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13.5" customHeight="1" x14ac:dyDescent="0.35">
      <c r="A446" s="35"/>
      <c r="B446" s="470"/>
      <c r="C446" s="35"/>
      <c r="D446" s="35"/>
      <c r="E446" s="471"/>
      <c r="F446" s="471"/>
      <c r="G446" s="471"/>
      <c r="H446" s="471"/>
      <c r="I446" s="471"/>
      <c r="J446" s="471"/>
      <c r="K446" s="471"/>
      <c r="L446" s="35"/>
      <c r="M446" s="472"/>
      <c r="N446" s="472"/>
      <c r="O446" s="35"/>
      <c r="P446" s="35"/>
      <c r="Q446" s="35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13.5" customHeight="1" x14ac:dyDescent="0.35">
      <c r="A447" s="35"/>
      <c r="B447" s="470"/>
      <c r="C447" s="35"/>
      <c r="D447" s="35"/>
      <c r="E447" s="471"/>
      <c r="F447" s="471"/>
      <c r="G447" s="471"/>
      <c r="H447" s="471"/>
      <c r="I447" s="471"/>
      <c r="J447" s="471"/>
      <c r="K447" s="471"/>
      <c r="L447" s="35"/>
      <c r="M447" s="472"/>
      <c r="N447" s="472"/>
      <c r="O447" s="35"/>
      <c r="P447" s="35"/>
      <c r="Q447" s="35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13.5" customHeight="1" x14ac:dyDescent="0.35">
      <c r="A448" s="35"/>
      <c r="B448" s="470"/>
      <c r="C448" s="35"/>
      <c r="D448" s="35"/>
      <c r="E448" s="471"/>
      <c r="F448" s="471"/>
      <c r="G448" s="471"/>
      <c r="H448" s="471"/>
      <c r="I448" s="471"/>
      <c r="J448" s="471"/>
      <c r="K448" s="471"/>
      <c r="L448" s="35"/>
      <c r="M448" s="472"/>
      <c r="N448" s="472"/>
      <c r="O448" s="35"/>
      <c r="P448" s="35"/>
      <c r="Q448" s="35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13.5" customHeight="1" x14ac:dyDescent="0.35">
      <c r="A449" s="35"/>
      <c r="B449" s="470"/>
      <c r="C449" s="35"/>
      <c r="D449" s="35"/>
      <c r="E449" s="471"/>
      <c r="F449" s="471"/>
      <c r="G449" s="471"/>
      <c r="H449" s="471"/>
      <c r="I449" s="471"/>
      <c r="J449" s="471"/>
      <c r="K449" s="471"/>
      <c r="L449" s="35"/>
      <c r="M449" s="472"/>
      <c r="N449" s="472"/>
      <c r="O449" s="35"/>
      <c r="P449" s="35"/>
      <c r="Q449" s="35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13.5" customHeight="1" x14ac:dyDescent="0.35">
      <c r="A450" s="35"/>
      <c r="B450" s="470"/>
      <c r="C450" s="35"/>
      <c r="D450" s="35"/>
      <c r="E450" s="471"/>
      <c r="F450" s="471"/>
      <c r="G450" s="471"/>
      <c r="H450" s="471"/>
      <c r="I450" s="471"/>
      <c r="J450" s="471"/>
      <c r="K450" s="471"/>
      <c r="L450" s="35"/>
      <c r="M450" s="472"/>
      <c r="N450" s="472"/>
      <c r="O450" s="35"/>
      <c r="P450" s="35"/>
      <c r="Q450" s="35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13.5" customHeight="1" x14ac:dyDescent="0.35">
      <c r="A451" s="35"/>
      <c r="B451" s="470"/>
      <c r="C451" s="35"/>
      <c r="D451" s="35"/>
      <c r="E451" s="471"/>
      <c r="F451" s="471"/>
      <c r="G451" s="471"/>
      <c r="H451" s="471"/>
      <c r="I451" s="471"/>
      <c r="J451" s="471"/>
      <c r="K451" s="471"/>
      <c r="L451" s="35"/>
      <c r="M451" s="472"/>
      <c r="N451" s="472"/>
      <c r="O451" s="35"/>
      <c r="P451" s="35"/>
      <c r="Q451" s="35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13.5" customHeight="1" x14ac:dyDescent="0.35">
      <c r="A452" s="35"/>
      <c r="B452" s="470"/>
      <c r="C452" s="35"/>
      <c r="D452" s="35"/>
      <c r="E452" s="471"/>
      <c r="F452" s="471"/>
      <c r="G452" s="471"/>
      <c r="H452" s="471"/>
      <c r="I452" s="471"/>
      <c r="J452" s="471"/>
      <c r="K452" s="471"/>
      <c r="L452" s="35"/>
      <c r="M452" s="472"/>
      <c r="N452" s="472"/>
      <c r="O452" s="35"/>
      <c r="P452" s="35"/>
      <c r="Q452" s="35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13.5" customHeight="1" x14ac:dyDescent="0.35">
      <c r="A453" s="35"/>
      <c r="B453" s="470"/>
      <c r="C453" s="35"/>
      <c r="D453" s="35"/>
      <c r="E453" s="471"/>
      <c r="F453" s="471"/>
      <c r="G453" s="471"/>
      <c r="H453" s="471"/>
      <c r="I453" s="471"/>
      <c r="J453" s="471"/>
      <c r="K453" s="471"/>
      <c r="L453" s="35"/>
      <c r="M453" s="472"/>
      <c r="N453" s="472"/>
      <c r="O453" s="35"/>
      <c r="P453" s="35"/>
      <c r="Q453" s="35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13.5" customHeight="1" x14ac:dyDescent="0.35">
      <c r="A454" s="35"/>
      <c r="B454" s="470"/>
      <c r="C454" s="35"/>
      <c r="D454" s="35"/>
      <c r="E454" s="471"/>
      <c r="F454" s="471"/>
      <c r="G454" s="471"/>
      <c r="H454" s="471"/>
      <c r="I454" s="471"/>
      <c r="J454" s="471"/>
      <c r="K454" s="471"/>
      <c r="L454" s="35"/>
      <c r="M454" s="472"/>
      <c r="N454" s="472"/>
      <c r="O454" s="35"/>
      <c r="P454" s="35"/>
      <c r="Q454" s="35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13.5" customHeight="1" x14ac:dyDescent="0.35">
      <c r="A455" s="35"/>
      <c r="B455" s="470"/>
      <c r="C455" s="35"/>
      <c r="D455" s="35"/>
      <c r="E455" s="471"/>
      <c r="F455" s="471"/>
      <c r="G455" s="471"/>
      <c r="H455" s="471"/>
      <c r="I455" s="471"/>
      <c r="J455" s="471"/>
      <c r="K455" s="471"/>
      <c r="L455" s="35"/>
      <c r="M455" s="472"/>
      <c r="N455" s="472"/>
      <c r="O455" s="35"/>
      <c r="P455" s="35"/>
      <c r="Q455" s="35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13.5" customHeight="1" x14ac:dyDescent="0.35">
      <c r="A456" s="35"/>
      <c r="B456" s="470"/>
      <c r="C456" s="35"/>
      <c r="D456" s="35"/>
      <c r="E456" s="471"/>
      <c r="F456" s="471"/>
      <c r="G456" s="471"/>
      <c r="H456" s="471"/>
      <c r="I456" s="471"/>
      <c r="J456" s="471"/>
      <c r="K456" s="471"/>
      <c r="L456" s="35"/>
      <c r="M456" s="472"/>
      <c r="N456" s="472"/>
      <c r="O456" s="35"/>
      <c r="P456" s="35"/>
      <c r="Q456" s="35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13.5" customHeight="1" x14ac:dyDescent="0.35">
      <c r="A457" s="35"/>
      <c r="B457" s="470"/>
      <c r="C457" s="35"/>
      <c r="D457" s="35"/>
      <c r="E457" s="471"/>
      <c r="F457" s="471"/>
      <c r="G457" s="471"/>
      <c r="H457" s="471"/>
      <c r="I457" s="471"/>
      <c r="J457" s="471"/>
      <c r="K457" s="471"/>
      <c r="L457" s="35"/>
      <c r="M457" s="472"/>
      <c r="N457" s="472"/>
      <c r="O457" s="35"/>
      <c r="P457" s="35"/>
      <c r="Q457" s="35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13.5" customHeight="1" x14ac:dyDescent="0.35">
      <c r="A458" s="35"/>
      <c r="B458" s="470"/>
      <c r="C458" s="35"/>
      <c r="D458" s="35"/>
      <c r="E458" s="471"/>
      <c r="F458" s="471"/>
      <c r="G458" s="471"/>
      <c r="H458" s="471"/>
      <c r="I458" s="471"/>
      <c r="J458" s="471"/>
      <c r="K458" s="471"/>
      <c r="L458" s="35"/>
      <c r="M458" s="472"/>
      <c r="N458" s="472"/>
      <c r="O458" s="35"/>
      <c r="P458" s="35"/>
      <c r="Q458" s="35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13.5" customHeight="1" x14ac:dyDescent="0.35">
      <c r="A459" s="35"/>
      <c r="B459" s="470"/>
      <c r="C459" s="35"/>
      <c r="D459" s="35"/>
      <c r="E459" s="471"/>
      <c r="F459" s="471"/>
      <c r="G459" s="471"/>
      <c r="H459" s="471"/>
      <c r="I459" s="471"/>
      <c r="J459" s="471"/>
      <c r="K459" s="471"/>
      <c r="L459" s="35"/>
      <c r="M459" s="472"/>
      <c r="N459" s="472"/>
      <c r="O459" s="35"/>
      <c r="P459" s="35"/>
      <c r="Q459" s="35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13.5" customHeight="1" x14ac:dyDescent="0.35">
      <c r="A460" s="35"/>
      <c r="B460" s="470"/>
      <c r="C460" s="35"/>
      <c r="D460" s="35"/>
      <c r="E460" s="471"/>
      <c r="F460" s="471"/>
      <c r="G460" s="471"/>
      <c r="H460" s="471"/>
      <c r="I460" s="471"/>
      <c r="J460" s="471"/>
      <c r="K460" s="471"/>
      <c r="L460" s="35"/>
      <c r="M460" s="472"/>
      <c r="N460" s="472"/>
      <c r="O460" s="35"/>
      <c r="P460" s="35"/>
      <c r="Q460" s="35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13.5" customHeight="1" x14ac:dyDescent="0.35">
      <c r="A461" s="35"/>
      <c r="B461" s="470"/>
      <c r="C461" s="35"/>
      <c r="D461" s="35"/>
      <c r="E461" s="471"/>
      <c r="F461" s="471"/>
      <c r="G461" s="471"/>
      <c r="H461" s="471"/>
      <c r="I461" s="471"/>
      <c r="J461" s="471"/>
      <c r="K461" s="471"/>
      <c r="L461" s="35"/>
      <c r="M461" s="472"/>
      <c r="N461" s="472"/>
      <c r="O461" s="35"/>
      <c r="P461" s="35"/>
      <c r="Q461" s="35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13.5" customHeight="1" x14ac:dyDescent="0.35">
      <c r="A462" s="35"/>
      <c r="B462" s="470"/>
      <c r="C462" s="35"/>
      <c r="D462" s="35"/>
      <c r="E462" s="471"/>
      <c r="F462" s="471"/>
      <c r="G462" s="471"/>
      <c r="H462" s="471"/>
      <c r="I462" s="471"/>
      <c r="J462" s="471"/>
      <c r="K462" s="471"/>
      <c r="L462" s="35"/>
      <c r="M462" s="472"/>
      <c r="N462" s="472"/>
      <c r="O462" s="35"/>
      <c r="P462" s="35"/>
      <c r="Q462" s="35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13.5" customHeight="1" x14ac:dyDescent="0.35">
      <c r="A463" s="35"/>
      <c r="B463" s="470"/>
      <c r="C463" s="35"/>
      <c r="D463" s="35"/>
      <c r="E463" s="471"/>
      <c r="F463" s="471"/>
      <c r="G463" s="471"/>
      <c r="H463" s="471"/>
      <c r="I463" s="471"/>
      <c r="J463" s="471"/>
      <c r="K463" s="471"/>
      <c r="L463" s="35"/>
      <c r="M463" s="472"/>
      <c r="N463" s="472"/>
      <c r="O463" s="35"/>
      <c r="P463" s="35"/>
      <c r="Q463" s="35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13.5" customHeight="1" x14ac:dyDescent="0.35">
      <c r="A464" s="35"/>
      <c r="B464" s="470"/>
      <c r="C464" s="35"/>
      <c r="D464" s="35"/>
      <c r="E464" s="471"/>
      <c r="F464" s="471"/>
      <c r="G464" s="471"/>
      <c r="H464" s="471"/>
      <c r="I464" s="471"/>
      <c r="J464" s="471"/>
      <c r="K464" s="471"/>
      <c r="L464" s="35"/>
      <c r="M464" s="472"/>
      <c r="N464" s="472"/>
      <c r="O464" s="35"/>
      <c r="P464" s="35"/>
      <c r="Q464" s="35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13.5" customHeight="1" x14ac:dyDescent="0.35">
      <c r="A465" s="35"/>
      <c r="B465" s="470"/>
      <c r="C465" s="35"/>
      <c r="D465" s="35"/>
      <c r="E465" s="471"/>
      <c r="F465" s="471"/>
      <c r="G465" s="471"/>
      <c r="H465" s="471"/>
      <c r="I465" s="471"/>
      <c r="J465" s="471"/>
      <c r="K465" s="471"/>
      <c r="L465" s="35"/>
      <c r="M465" s="472"/>
      <c r="N465" s="472"/>
      <c r="O465" s="35"/>
      <c r="P465" s="35"/>
      <c r="Q465" s="35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13.5" customHeight="1" x14ac:dyDescent="0.35">
      <c r="A466" s="35"/>
      <c r="B466" s="470"/>
      <c r="C466" s="35"/>
      <c r="D466" s="35"/>
      <c r="E466" s="471"/>
      <c r="F466" s="471"/>
      <c r="G466" s="471"/>
      <c r="H466" s="471"/>
      <c r="I466" s="471"/>
      <c r="J466" s="471"/>
      <c r="K466" s="471"/>
      <c r="L466" s="35"/>
      <c r="M466" s="472"/>
      <c r="N466" s="472"/>
      <c r="O466" s="35"/>
      <c r="P466" s="35"/>
      <c r="Q466" s="35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13.5" customHeight="1" x14ac:dyDescent="0.35">
      <c r="A467" s="35"/>
      <c r="B467" s="470"/>
      <c r="C467" s="35"/>
      <c r="D467" s="35"/>
      <c r="E467" s="471"/>
      <c r="F467" s="471"/>
      <c r="G467" s="471"/>
      <c r="H467" s="471"/>
      <c r="I467" s="471"/>
      <c r="J467" s="471"/>
      <c r="K467" s="471"/>
      <c r="L467" s="35"/>
      <c r="M467" s="472"/>
      <c r="N467" s="472"/>
      <c r="O467" s="35"/>
      <c r="P467" s="35"/>
      <c r="Q467" s="35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13.5" customHeight="1" x14ac:dyDescent="0.35">
      <c r="A468" s="35"/>
      <c r="B468" s="470"/>
      <c r="C468" s="35"/>
      <c r="D468" s="35"/>
      <c r="E468" s="471"/>
      <c r="F468" s="471"/>
      <c r="G468" s="471"/>
      <c r="H468" s="471"/>
      <c r="I468" s="471"/>
      <c r="J468" s="471"/>
      <c r="K468" s="471"/>
      <c r="L468" s="35"/>
      <c r="M468" s="472"/>
      <c r="N468" s="472"/>
      <c r="O468" s="35"/>
      <c r="P468" s="35"/>
      <c r="Q468" s="35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13.5" customHeight="1" x14ac:dyDescent="0.35">
      <c r="A469" s="35"/>
      <c r="B469" s="470"/>
      <c r="C469" s="35"/>
      <c r="D469" s="35"/>
      <c r="E469" s="471"/>
      <c r="F469" s="471"/>
      <c r="G469" s="471"/>
      <c r="H469" s="471"/>
      <c r="I469" s="471"/>
      <c r="J469" s="471"/>
      <c r="K469" s="471"/>
      <c r="L469" s="35"/>
      <c r="M469" s="472"/>
      <c r="N469" s="472"/>
      <c r="O469" s="35"/>
      <c r="P469" s="35"/>
      <c r="Q469" s="35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13.5" customHeight="1" x14ac:dyDescent="0.35">
      <c r="A470" s="35"/>
      <c r="B470" s="470"/>
      <c r="C470" s="35"/>
      <c r="D470" s="35"/>
      <c r="E470" s="471"/>
      <c r="F470" s="471"/>
      <c r="G470" s="471"/>
      <c r="H470" s="471"/>
      <c r="I470" s="471"/>
      <c r="J470" s="471"/>
      <c r="K470" s="471"/>
      <c r="L470" s="35"/>
      <c r="M470" s="472"/>
      <c r="N470" s="472"/>
      <c r="O470" s="35"/>
      <c r="P470" s="35"/>
      <c r="Q470" s="35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13.5" customHeight="1" x14ac:dyDescent="0.35">
      <c r="A471" s="35"/>
      <c r="B471" s="470"/>
      <c r="C471" s="35"/>
      <c r="D471" s="35"/>
      <c r="E471" s="471"/>
      <c r="F471" s="471"/>
      <c r="G471" s="471"/>
      <c r="H471" s="471"/>
      <c r="I471" s="471"/>
      <c r="J471" s="471"/>
      <c r="K471" s="471"/>
      <c r="L471" s="35"/>
      <c r="M471" s="472"/>
      <c r="N471" s="472"/>
      <c r="O471" s="35"/>
      <c r="P471" s="35"/>
      <c r="Q471" s="35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13.5" customHeight="1" x14ac:dyDescent="0.35">
      <c r="A472" s="35"/>
      <c r="B472" s="470"/>
      <c r="C472" s="35"/>
      <c r="D472" s="35"/>
      <c r="E472" s="471"/>
      <c r="F472" s="471"/>
      <c r="G472" s="471"/>
      <c r="H472" s="471"/>
      <c r="I472" s="471"/>
      <c r="J472" s="471"/>
      <c r="K472" s="471"/>
      <c r="L472" s="35"/>
      <c r="M472" s="472"/>
      <c r="N472" s="472"/>
      <c r="O472" s="35"/>
      <c r="P472" s="35"/>
      <c r="Q472" s="35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13.5" customHeight="1" x14ac:dyDescent="0.35">
      <c r="A473" s="35"/>
      <c r="B473" s="470"/>
      <c r="C473" s="35"/>
      <c r="D473" s="35"/>
      <c r="E473" s="471"/>
      <c r="F473" s="471"/>
      <c r="G473" s="471"/>
      <c r="H473" s="471"/>
      <c r="I473" s="471"/>
      <c r="J473" s="471"/>
      <c r="K473" s="471"/>
      <c r="L473" s="35"/>
      <c r="M473" s="472"/>
      <c r="N473" s="472"/>
      <c r="O473" s="35"/>
      <c r="P473" s="35"/>
      <c r="Q473" s="35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13.5" customHeight="1" x14ac:dyDescent="0.35">
      <c r="A474" s="35"/>
      <c r="B474" s="470"/>
      <c r="C474" s="35"/>
      <c r="D474" s="35"/>
      <c r="E474" s="471"/>
      <c r="F474" s="471"/>
      <c r="G474" s="471"/>
      <c r="H474" s="471"/>
      <c r="I474" s="471"/>
      <c r="J474" s="471"/>
      <c r="K474" s="471"/>
      <c r="L474" s="35"/>
      <c r="M474" s="472"/>
      <c r="N474" s="472"/>
      <c r="O474" s="35"/>
      <c r="P474" s="35"/>
      <c r="Q474" s="35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13.5" customHeight="1" x14ac:dyDescent="0.35">
      <c r="A475" s="35"/>
      <c r="B475" s="470"/>
      <c r="C475" s="35"/>
      <c r="D475" s="35"/>
      <c r="E475" s="471"/>
      <c r="F475" s="471"/>
      <c r="G475" s="471"/>
      <c r="H475" s="471"/>
      <c r="I475" s="471"/>
      <c r="J475" s="471"/>
      <c r="K475" s="471"/>
      <c r="L475" s="35"/>
      <c r="M475" s="472"/>
      <c r="N475" s="472"/>
      <c r="O475" s="35"/>
      <c r="P475" s="35"/>
      <c r="Q475" s="35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13.5" customHeight="1" x14ac:dyDescent="0.35">
      <c r="A476" s="35"/>
      <c r="B476" s="470"/>
      <c r="C476" s="35"/>
      <c r="D476" s="35"/>
      <c r="E476" s="471"/>
      <c r="F476" s="471"/>
      <c r="G476" s="471"/>
      <c r="H476" s="471"/>
      <c r="I476" s="471"/>
      <c r="J476" s="471"/>
      <c r="K476" s="471"/>
      <c r="L476" s="35"/>
      <c r="M476" s="472"/>
      <c r="N476" s="472"/>
      <c r="O476" s="35"/>
      <c r="P476" s="35"/>
      <c r="Q476" s="35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13.5" customHeight="1" x14ac:dyDescent="0.35">
      <c r="A477" s="35"/>
      <c r="B477" s="470"/>
      <c r="C477" s="35"/>
      <c r="D477" s="35"/>
      <c r="E477" s="471"/>
      <c r="F477" s="471"/>
      <c r="G477" s="471"/>
      <c r="H477" s="471"/>
      <c r="I477" s="471"/>
      <c r="J477" s="471"/>
      <c r="K477" s="471"/>
      <c r="L477" s="35"/>
      <c r="M477" s="472"/>
      <c r="N477" s="472"/>
      <c r="O477" s="35"/>
      <c r="P477" s="35"/>
      <c r="Q477" s="35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13.5" customHeight="1" x14ac:dyDescent="0.35">
      <c r="A478" s="35"/>
      <c r="B478" s="470"/>
      <c r="C478" s="35"/>
      <c r="D478" s="35"/>
      <c r="E478" s="471"/>
      <c r="F478" s="471"/>
      <c r="G478" s="471"/>
      <c r="H478" s="471"/>
      <c r="I478" s="471"/>
      <c r="J478" s="471"/>
      <c r="K478" s="471"/>
      <c r="L478" s="35"/>
      <c r="M478" s="472"/>
      <c r="N478" s="472"/>
      <c r="O478" s="35"/>
      <c r="P478" s="35"/>
      <c r="Q478" s="35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13.5" customHeight="1" x14ac:dyDescent="0.35">
      <c r="A479" s="35"/>
      <c r="B479" s="470"/>
      <c r="C479" s="35"/>
      <c r="D479" s="35"/>
      <c r="E479" s="471"/>
      <c r="F479" s="471"/>
      <c r="G479" s="471"/>
      <c r="H479" s="471"/>
      <c r="I479" s="471"/>
      <c r="J479" s="471"/>
      <c r="K479" s="471"/>
      <c r="L479" s="35"/>
      <c r="M479" s="472"/>
      <c r="N479" s="472"/>
      <c r="O479" s="35"/>
      <c r="P479" s="35"/>
      <c r="Q479" s="35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13.5" customHeight="1" x14ac:dyDescent="0.35">
      <c r="A480" s="35"/>
      <c r="B480" s="470"/>
      <c r="C480" s="35"/>
      <c r="D480" s="35"/>
      <c r="E480" s="471"/>
      <c r="F480" s="471"/>
      <c r="G480" s="471"/>
      <c r="H480" s="471"/>
      <c r="I480" s="471"/>
      <c r="J480" s="471"/>
      <c r="K480" s="471"/>
      <c r="L480" s="35"/>
      <c r="M480" s="472"/>
      <c r="N480" s="472"/>
      <c r="O480" s="35"/>
      <c r="P480" s="35"/>
      <c r="Q480" s="35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13.5" customHeight="1" x14ac:dyDescent="0.35">
      <c r="A481" s="35"/>
      <c r="B481" s="470"/>
      <c r="C481" s="35"/>
      <c r="D481" s="35"/>
      <c r="E481" s="471"/>
      <c r="F481" s="471"/>
      <c r="G481" s="471"/>
      <c r="H481" s="471"/>
      <c r="I481" s="471"/>
      <c r="J481" s="471"/>
      <c r="K481" s="471"/>
      <c r="L481" s="35"/>
      <c r="M481" s="472"/>
      <c r="N481" s="472"/>
      <c r="O481" s="35"/>
      <c r="P481" s="35"/>
      <c r="Q481" s="35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13.5" customHeight="1" x14ac:dyDescent="0.35">
      <c r="A482" s="35"/>
      <c r="B482" s="470"/>
      <c r="C482" s="35"/>
      <c r="D482" s="35"/>
      <c r="E482" s="471"/>
      <c r="F482" s="471"/>
      <c r="G482" s="471"/>
      <c r="H482" s="471"/>
      <c r="I482" s="471"/>
      <c r="J482" s="471"/>
      <c r="K482" s="471"/>
      <c r="L482" s="35"/>
      <c r="M482" s="472"/>
      <c r="N482" s="472"/>
      <c r="O482" s="35"/>
      <c r="P482" s="35"/>
      <c r="Q482" s="35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13.5" customHeight="1" x14ac:dyDescent="0.35">
      <c r="A483" s="35"/>
      <c r="B483" s="470"/>
      <c r="C483" s="35"/>
      <c r="D483" s="35"/>
      <c r="E483" s="471"/>
      <c r="F483" s="471"/>
      <c r="G483" s="471"/>
      <c r="H483" s="471"/>
      <c r="I483" s="471"/>
      <c r="J483" s="471"/>
      <c r="K483" s="471"/>
      <c r="L483" s="35"/>
      <c r="M483" s="472"/>
      <c r="N483" s="472"/>
      <c r="O483" s="35"/>
      <c r="P483" s="35"/>
      <c r="Q483" s="35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13.5" customHeight="1" x14ac:dyDescent="0.35">
      <c r="A484" s="35"/>
      <c r="B484" s="470"/>
      <c r="C484" s="35"/>
      <c r="D484" s="35"/>
      <c r="E484" s="471"/>
      <c r="F484" s="471"/>
      <c r="G484" s="471"/>
      <c r="H484" s="471"/>
      <c r="I484" s="471"/>
      <c r="J484" s="471"/>
      <c r="K484" s="471"/>
      <c r="L484" s="35"/>
      <c r="M484" s="472"/>
      <c r="N484" s="472"/>
      <c r="O484" s="35"/>
      <c r="P484" s="35"/>
      <c r="Q484" s="35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13.5" customHeight="1" x14ac:dyDescent="0.35">
      <c r="A485" s="35"/>
      <c r="B485" s="470"/>
      <c r="C485" s="35"/>
      <c r="D485" s="35"/>
      <c r="E485" s="471"/>
      <c r="F485" s="471"/>
      <c r="G485" s="471"/>
      <c r="H485" s="471"/>
      <c r="I485" s="471"/>
      <c r="J485" s="471"/>
      <c r="K485" s="471"/>
      <c r="L485" s="35"/>
      <c r="M485" s="472"/>
      <c r="N485" s="472"/>
      <c r="O485" s="35"/>
      <c r="P485" s="35"/>
      <c r="Q485" s="35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13.5" customHeight="1" x14ac:dyDescent="0.35">
      <c r="A486" s="35"/>
      <c r="B486" s="470"/>
      <c r="C486" s="35"/>
      <c r="D486" s="35"/>
      <c r="E486" s="471"/>
      <c r="F486" s="471"/>
      <c r="G486" s="471"/>
      <c r="H486" s="471"/>
      <c r="I486" s="471"/>
      <c r="J486" s="471"/>
      <c r="K486" s="471"/>
      <c r="L486" s="35"/>
      <c r="M486" s="472"/>
      <c r="N486" s="472"/>
      <c r="O486" s="35"/>
      <c r="P486" s="35"/>
      <c r="Q486" s="35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13.5" customHeight="1" x14ac:dyDescent="0.35">
      <c r="A487" s="35"/>
      <c r="B487" s="470"/>
      <c r="C487" s="35"/>
      <c r="D487" s="35"/>
      <c r="E487" s="471"/>
      <c r="F487" s="471"/>
      <c r="G487" s="471"/>
      <c r="H487" s="471"/>
      <c r="I487" s="471"/>
      <c r="J487" s="471"/>
      <c r="K487" s="471"/>
      <c r="L487" s="35"/>
      <c r="M487" s="472"/>
      <c r="N487" s="472"/>
      <c r="O487" s="35"/>
      <c r="P487" s="35"/>
      <c r="Q487" s="35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13.5" customHeight="1" x14ac:dyDescent="0.35">
      <c r="A488" s="35"/>
      <c r="B488" s="470"/>
      <c r="C488" s="35"/>
      <c r="D488" s="35"/>
      <c r="E488" s="471"/>
      <c r="F488" s="471"/>
      <c r="G488" s="471"/>
      <c r="H488" s="471"/>
      <c r="I488" s="471"/>
      <c r="J488" s="471"/>
      <c r="K488" s="471"/>
      <c r="L488" s="35"/>
      <c r="M488" s="472"/>
      <c r="N488" s="472"/>
      <c r="O488" s="35"/>
      <c r="P488" s="35"/>
      <c r="Q488" s="35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13.5" customHeight="1" x14ac:dyDescent="0.35">
      <c r="A489" s="35"/>
      <c r="B489" s="470"/>
      <c r="C489" s="35"/>
      <c r="D489" s="35"/>
      <c r="E489" s="471"/>
      <c r="F489" s="471"/>
      <c r="G489" s="471"/>
      <c r="H489" s="471"/>
      <c r="I489" s="471"/>
      <c r="J489" s="471"/>
      <c r="K489" s="471"/>
      <c r="L489" s="35"/>
      <c r="M489" s="472"/>
      <c r="N489" s="472"/>
      <c r="O489" s="35"/>
      <c r="P489" s="35"/>
      <c r="Q489" s="35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13.5" customHeight="1" x14ac:dyDescent="0.35">
      <c r="A490" s="35"/>
      <c r="B490" s="470"/>
      <c r="C490" s="35"/>
      <c r="D490" s="35"/>
      <c r="E490" s="471"/>
      <c r="F490" s="471"/>
      <c r="G490" s="471"/>
      <c r="H490" s="471"/>
      <c r="I490" s="471"/>
      <c r="J490" s="471"/>
      <c r="K490" s="471"/>
      <c r="L490" s="35"/>
      <c r="M490" s="472"/>
      <c r="N490" s="472"/>
      <c r="O490" s="35"/>
      <c r="P490" s="35"/>
      <c r="Q490" s="35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13.5" customHeight="1" x14ac:dyDescent="0.35">
      <c r="A491" s="35"/>
      <c r="B491" s="470"/>
      <c r="C491" s="35"/>
      <c r="D491" s="35"/>
      <c r="E491" s="471"/>
      <c r="F491" s="471"/>
      <c r="G491" s="471"/>
      <c r="H491" s="471"/>
      <c r="I491" s="471"/>
      <c r="J491" s="471"/>
      <c r="K491" s="471"/>
      <c r="L491" s="35"/>
      <c r="M491" s="472"/>
      <c r="N491" s="472"/>
      <c r="O491" s="35"/>
      <c r="P491" s="35"/>
      <c r="Q491" s="35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13.5" customHeight="1" x14ac:dyDescent="0.35">
      <c r="A492" s="35"/>
      <c r="B492" s="470"/>
      <c r="C492" s="35"/>
      <c r="D492" s="35"/>
      <c r="E492" s="471"/>
      <c r="F492" s="471"/>
      <c r="G492" s="471"/>
      <c r="H492" s="471"/>
      <c r="I492" s="471"/>
      <c r="J492" s="471"/>
      <c r="K492" s="471"/>
      <c r="L492" s="35"/>
      <c r="M492" s="472"/>
      <c r="N492" s="472"/>
      <c r="O492" s="35"/>
      <c r="P492" s="35"/>
      <c r="Q492" s="35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13.5" customHeight="1" x14ac:dyDescent="0.35">
      <c r="A493" s="35"/>
      <c r="B493" s="470"/>
      <c r="C493" s="35"/>
      <c r="D493" s="35"/>
      <c r="E493" s="471"/>
      <c r="F493" s="471"/>
      <c r="G493" s="471"/>
      <c r="H493" s="471"/>
      <c r="I493" s="471"/>
      <c r="J493" s="471"/>
      <c r="K493" s="471"/>
      <c r="L493" s="35"/>
      <c r="M493" s="472"/>
      <c r="N493" s="472"/>
      <c r="O493" s="35"/>
      <c r="P493" s="35"/>
      <c r="Q493" s="35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13.5" customHeight="1" x14ac:dyDescent="0.35">
      <c r="A494" s="35"/>
      <c r="B494" s="470"/>
      <c r="C494" s="35"/>
      <c r="D494" s="35"/>
      <c r="E494" s="471"/>
      <c r="F494" s="471"/>
      <c r="G494" s="471"/>
      <c r="H494" s="471"/>
      <c r="I494" s="471"/>
      <c r="J494" s="471"/>
      <c r="K494" s="471"/>
      <c r="L494" s="35"/>
      <c r="M494" s="472"/>
      <c r="N494" s="472"/>
      <c r="O494" s="35"/>
      <c r="P494" s="35"/>
      <c r="Q494" s="35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13.5" customHeight="1" x14ac:dyDescent="0.35">
      <c r="A495" s="35"/>
      <c r="B495" s="470"/>
      <c r="C495" s="35"/>
      <c r="D495" s="35"/>
      <c r="E495" s="471"/>
      <c r="F495" s="471"/>
      <c r="G495" s="471"/>
      <c r="H495" s="471"/>
      <c r="I495" s="471"/>
      <c r="J495" s="471"/>
      <c r="K495" s="471"/>
      <c r="L495" s="35"/>
      <c r="M495" s="472"/>
      <c r="N495" s="472"/>
      <c r="O495" s="35"/>
      <c r="P495" s="35"/>
      <c r="Q495" s="35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13.5" customHeight="1" x14ac:dyDescent="0.35">
      <c r="A496" s="35"/>
      <c r="B496" s="470"/>
      <c r="C496" s="35"/>
      <c r="D496" s="35"/>
      <c r="E496" s="471"/>
      <c r="F496" s="471"/>
      <c r="G496" s="471"/>
      <c r="H496" s="471"/>
      <c r="I496" s="471"/>
      <c r="J496" s="471"/>
      <c r="K496" s="471"/>
      <c r="L496" s="35"/>
      <c r="M496" s="472"/>
      <c r="N496" s="472"/>
      <c r="O496" s="35"/>
      <c r="P496" s="35"/>
      <c r="Q496" s="35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13.5" customHeight="1" x14ac:dyDescent="0.35">
      <c r="A497" s="35"/>
      <c r="B497" s="470"/>
      <c r="C497" s="35"/>
      <c r="D497" s="35"/>
      <c r="E497" s="471"/>
      <c r="F497" s="471"/>
      <c r="G497" s="471"/>
      <c r="H497" s="471"/>
      <c r="I497" s="471"/>
      <c r="J497" s="471"/>
      <c r="K497" s="471"/>
      <c r="L497" s="35"/>
      <c r="M497" s="472"/>
      <c r="N497" s="472"/>
      <c r="O497" s="35"/>
      <c r="P497" s="35"/>
      <c r="Q497" s="35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13.5" customHeight="1" x14ac:dyDescent="0.35">
      <c r="A498" s="35"/>
      <c r="B498" s="470"/>
      <c r="C498" s="35"/>
      <c r="D498" s="35"/>
      <c r="E498" s="471"/>
      <c r="F498" s="471"/>
      <c r="G498" s="471"/>
      <c r="H498" s="471"/>
      <c r="I498" s="471"/>
      <c r="J498" s="471"/>
      <c r="K498" s="471"/>
      <c r="L498" s="35"/>
      <c r="M498" s="472"/>
      <c r="N498" s="472"/>
      <c r="O498" s="35"/>
      <c r="P498" s="35"/>
      <c r="Q498" s="35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13.5" customHeight="1" x14ac:dyDescent="0.35">
      <c r="A499" s="35"/>
      <c r="B499" s="470"/>
      <c r="C499" s="35"/>
      <c r="D499" s="35"/>
      <c r="E499" s="471"/>
      <c r="F499" s="471"/>
      <c r="G499" s="471"/>
      <c r="H499" s="471"/>
      <c r="I499" s="471"/>
      <c r="J499" s="471"/>
      <c r="K499" s="471"/>
      <c r="L499" s="35"/>
      <c r="M499" s="472"/>
      <c r="N499" s="472"/>
      <c r="O499" s="35"/>
      <c r="P499" s="35"/>
      <c r="Q499" s="35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13.5" customHeight="1" x14ac:dyDescent="0.35">
      <c r="A500" s="35"/>
      <c r="B500" s="470"/>
      <c r="C500" s="35"/>
      <c r="D500" s="35"/>
      <c r="E500" s="471"/>
      <c r="F500" s="471"/>
      <c r="G500" s="471"/>
      <c r="H500" s="471"/>
      <c r="I500" s="471"/>
      <c r="J500" s="471"/>
      <c r="K500" s="471"/>
      <c r="L500" s="35"/>
      <c r="M500" s="472"/>
      <c r="N500" s="472"/>
      <c r="O500" s="35"/>
      <c r="P500" s="35"/>
      <c r="Q500" s="35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13.5" customHeight="1" x14ac:dyDescent="0.35">
      <c r="A501" s="35"/>
      <c r="B501" s="470"/>
      <c r="C501" s="35"/>
      <c r="D501" s="35"/>
      <c r="E501" s="471"/>
      <c r="F501" s="471"/>
      <c r="G501" s="471"/>
      <c r="H501" s="471"/>
      <c r="I501" s="471"/>
      <c r="J501" s="471"/>
      <c r="K501" s="471"/>
      <c r="L501" s="35"/>
      <c r="M501" s="472"/>
      <c r="N501" s="472"/>
      <c r="O501" s="35"/>
      <c r="P501" s="35"/>
      <c r="Q501" s="35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13.5" customHeight="1" x14ac:dyDescent="0.35">
      <c r="A502" s="35"/>
      <c r="B502" s="470"/>
      <c r="C502" s="35"/>
      <c r="D502" s="35"/>
      <c r="E502" s="471"/>
      <c r="F502" s="471"/>
      <c r="G502" s="471"/>
      <c r="H502" s="471"/>
      <c r="I502" s="471"/>
      <c r="J502" s="471"/>
      <c r="K502" s="471"/>
      <c r="L502" s="35"/>
      <c r="M502" s="472"/>
      <c r="N502" s="472"/>
      <c r="O502" s="35"/>
      <c r="P502" s="35"/>
      <c r="Q502" s="35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13.5" customHeight="1" x14ac:dyDescent="0.35">
      <c r="A503" s="35"/>
      <c r="B503" s="470"/>
      <c r="C503" s="35"/>
      <c r="D503" s="35"/>
      <c r="E503" s="471"/>
      <c r="F503" s="471"/>
      <c r="G503" s="471"/>
      <c r="H503" s="471"/>
      <c r="I503" s="471"/>
      <c r="J503" s="471"/>
      <c r="K503" s="471"/>
      <c r="L503" s="35"/>
      <c r="M503" s="472"/>
      <c r="N503" s="472"/>
      <c r="O503" s="35"/>
      <c r="P503" s="35"/>
      <c r="Q503" s="35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13.5" customHeight="1" x14ac:dyDescent="0.35">
      <c r="A504" s="35"/>
      <c r="B504" s="470"/>
      <c r="C504" s="35"/>
      <c r="D504" s="35"/>
      <c r="E504" s="471"/>
      <c r="F504" s="471"/>
      <c r="G504" s="471"/>
      <c r="H504" s="471"/>
      <c r="I504" s="471"/>
      <c r="J504" s="471"/>
      <c r="K504" s="471"/>
      <c r="L504" s="35"/>
      <c r="M504" s="472"/>
      <c r="N504" s="472"/>
      <c r="O504" s="35"/>
      <c r="P504" s="35"/>
      <c r="Q504" s="35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13.5" customHeight="1" x14ac:dyDescent="0.35">
      <c r="A505" s="35"/>
      <c r="B505" s="470"/>
      <c r="C505" s="35"/>
      <c r="D505" s="35"/>
      <c r="E505" s="471"/>
      <c r="F505" s="471"/>
      <c r="G505" s="471"/>
      <c r="H505" s="471"/>
      <c r="I505" s="471"/>
      <c r="J505" s="471"/>
      <c r="K505" s="471"/>
      <c r="L505" s="35"/>
      <c r="M505" s="472"/>
      <c r="N505" s="472"/>
      <c r="O505" s="35"/>
      <c r="P505" s="35"/>
      <c r="Q505" s="35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13.5" customHeight="1" x14ac:dyDescent="0.35">
      <c r="A506" s="35"/>
      <c r="B506" s="470"/>
      <c r="C506" s="35"/>
      <c r="D506" s="35"/>
      <c r="E506" s="471"/>
      <c r="F506" s="471"/>
      <c r="G506" s="471"/>
      <c r="H506" s="471"/>
      <c r="I506" s="471"/>
      <c r="J506" s="471"/>
      <c r="K506" s="471"/>
      <c r="L506" s="35"/>
      <c r="M506" s="472"/>
      <c r="N506" s="472"/>
      <c r="O506" s="35"/>
      <c r="P506" s="35"/>
      <c r="Q506" s="35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13.5" customHeight="1" x14ac:dyDescent="0.35">
      <c r="A507" s="35"/>
      <c r="B507" s="470"/>
      <c r="C507" s="35"/>
      <c r="D507" s="35"/>
      <c r="E507" s="471"/>
      <c r="F507" s="471"/>
      <c r="G507" s="471"/>
      <c r="H507" s="471"/>
      <c r="I507" s="471"/>
      <c r="J507" s="471"/>
      <c r="K507" s="471"/>
      <c r="L507" s="35"/>
      <c r="M507" s="472"/>
      <c r="N507" s="472"/>
      <c r="O507" s="35"/>
      <c r="P507" s="35"/>
      <c r="Q507" s="35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13.5" customHeight="1" x14ac:dyDescent="0.35">
      <c r="A508" s="35"/>
      <c r="B508" s="470"/>
      <c r="C508" s="35"/>
      <c r="D508" s="35"/>
      <c r="E508" s="471"/>
      <c r="F508" s="471"/>
      <c r="G508" s="471"/>
      <c r="H508" s="471"/>
      <c r="I508" s="471"/>
      <c r="J508" s="471"/>
      <c r="K508" s="471"/>
      <c r="L508" s="35"/>
      <c r="M508" s="472"/>
      <c r="N508" s="472"/>
      <c r="O508" s="35"/>
      <c r="P508" s="35"/>
      <c r="Q508" s="35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13.5" customHeight="1" x14ac:dyDescent="0.35">
      <c r="A509" s="35"/>
      <c r="B509" s="470"/>
      <c r="C509" s="35"/>
      <c r="D509" s="35"/>
      <c r="E509" s="471"/>
      <c r="F509" s="471"/>
      <c r="G509" s="471"/>
      <c r="H509" s="471"/>
      <c r="I509" s="471"/>
      <c r="J509" s="471"/>
      <c r="K509" s="471"/>
      <c r="L509" s="35"/>
      <c r="M509" s="472"/>
      <c r="N509" s="472"/>
      <c r="O509" s="35"/>
      <c r="P509" s="35"/>
      <c r="Q509" s="35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13.5" customHeight="1" x14ac:dyDescent="0.35">
      <c r="A510" s="35"/>
      <c r="B510" s="470"/>
      <c r="C510" s="35"/>
      <c r="D510" s="35"/>
      <c r="E510" s="471"/>
      <c r="F510" s="471"/>
      <c r="G510" s="471"/>
      <c r="H510" s="471"/>
      <c r="I510" s="471"/>
      <c r="J510" s="471"/>
      <c r="K510" s="471"/>
      <c r="L510" s="35"/>
      <c r="M510" s="472"/>
      <c r="N510" s="472"/>
      <c r="O510" s="35"/>
      <c r="P510" s="35"/>
      <c r="Q510" s="35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13.5" customHeight="1" x14ac:dyDescent="0.35">
      <c r="A511" s="35"/>
      <c r="B511" s="470"/>
      <c r="C511" s="35"/>
      <c r="D511" s="35"/>
      <c r="E511" s="471"/>
      <c r="F511" s="471"/>
      <c r="G511" s="471"/>
      <c r="H511" s="471"/>
      <c r="I511" s="471"/>
      <c r="J511" s="471"/>
      <c r="K511" s="471"/>
      <c r="L511" s="35"/>
      <c r="M511" s="472"/>
      <c r="N511" s="472"/>
      <c r="O511" s="35"/>
      <c r="P511" s="35"/>
      <c r="Q511" s="35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13.5" customHeight="1" x14ac:dyDescent="0.35">
      <c r="A512" s="35"/>
      <c r="B512" s="470"/>
      <c r="C512" s="35"/>
      <c r="D512" s="35"/>
      <c r="E512" s="471"/>
      <c r="F512" s="471"/>
      <c r="G512" s="471"/>
      <c r="H512" s="471"/>
      <c r="I512" s="471"/>
      <c r="J512" s="471"/>
      <c r="K512" s="471"/>
      <c r="L512" s="35"/>
      <c r="M512" s="472"/>
      <c r="N512" s="472"/>
      <c r="O512" s="35"/>
      <c r="P512" s="35"/>
      <c r="Q512" s="35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13.5" customHeight="1" x14ac:dyDescent="0.35">
      <c r="A513" s="35"/>
      <c r="B513" s="470"/>
      <c r="C513" s="35"/>
      <c r="D513" s="35"/>
      <c r="E513" s="471"/>
      <c r="F513" s="471"/>
      <c r="G513" s="471"/>
      <c r="H513" s="471"/>
      <c r="I513" s="471"/>
      <c r="J513" s="471"/>
      <c r="K513" s="471"/>
      <c r="L513" s="35"/>
      <c r="M513" s="472"/>
      <c r="N513" s="472"/>
      <c r="O513" s="35"/>
      <c r="P513" s="35"/>
      <c r="Q513" s="35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13.5" customHeight="1" x14ac:dyDescent="0.35">
      <c r="A514" s="35"/>
      <c r="B514" s="470"/>
      <c r="C514" s="35"/>
      <c r="D514" s="35"/>
      <c r="E514" s="471"/>
      <c r="F514" s="471"/>
      <c r="G514" s="471"/>
      <c r="H514" s="471"/>
      <c r="I514" s="471"/>
      <c r="J514" s="471"/>
      <c r="K514" s="471"/>
      <c r="L514" s="35"/>
      <c r="M514" s="472"/>
      <c r="N514" s="472"/>
      <c r="O514" s="35"/>
      <c r="P514" s="35"/>
      <c r="Q514" s="35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13.5" customHeight="1" x14ac:dyDescent="0.35">
      <c r="A515" s="35"/>
      <c r="B515" s="470"/>
      <c r="C515" s="35"/>
      <c r="D515" s="35"/>
      <c r="E515" s="471"/>
      <c r="F515" s="471"/>
      <c r="G515" s="471"/>
      <c r="H515" s="471"/>
      <c r="I515" s="471"/>
      <c r="J515" s="471"/>
      <c r="K515" s="471"/>
      <c r="L515" s="35"/>
      <c r="M515" s="472"/>
      <c r="N515" s="472"/>
      <c r="O515" s="35"/>
      <c r="P515" s="35"/>
      <c r="Q515" s="35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13.5" customHeight="1" x14ac:dyDescent="0.35">
      <c r="A516" s="35"/>
      <c r="B516" s="470"/>
      <c r="C516" s="35"/>
      <c r="D516" s="35"/>
      <c r="E516" s="471"/>
      <c r="F516" s="471"/>
      <c r="G516" s="471"/>
      <c r="H516" s="471"/>
      <c r="I516" s="471"/>
      <c r="J516" s="471"/>
      <c r="K516" s="471"/>
      <c r="L516" s="35"/>
      <c r="M516" s="472"/>
      <c r="N516" s="472"/>
      <c r="O516" s="35"/>
      <c r="P516" s="35"/>
      <c r="Q516" s="35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13.5" customHeight="1" x14ac:dyDescent="0.35">
      <c r="A517" s="35"/>
      <c r="B517" s="470"/>
      <c r="C517" s="35"/>
      <c r="D517" s="35"/>
      <c r="E517" s="471"/>
      <c r="F517" s="471"/>
      <c r="G517" s="471"/>
      <c r="H517" s="471"/>
      <c r="I517" s="471"/>
      <c r="J517" s="471"/>
      <c r="K517" s="471"/>
      <c r="L517" s="35"/>
      <c r="M517" s="472"/>
      <c r="N517" s="472"/>
      <c r="O517" s="35"/>
      <c r="P517" s="35"/>
      <c r="Q517" s="35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13.5" customHeight="1" x14ac:dyDescent="0.35">
      <c r="A518" s="35"/>
      <c r="B518" s="470"/>
      <c r="C518" s="35"/>
      <c r="D518" s="35"/>
      <c r="E518" s="471"/>
      <c r="F518" s="471"/>
      <c r="G518" s="471"/>
      <c r="H518" s="471"/>
      <c r="I518" s="471"/>
      <c r="J518" s="471"/>
      <c r="K518" s="471"/>
      <c r="L518" s="35"/>
      <c r="M518" s="472"/>
      <c r="N518" s="472"/>
      <c r="O518" s="35"/>
      <c r="P518" s="35"/>
      <c r="Q518" s="35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13.5" customHeight="1" x14ac:dyDescent="0.35">
      <c r="A519" s="35"/>
      <c r="B519" s="470"/>
      <c r="C519" s="35"/>
      <c r="D519" s="35"/>
      <c r="E519" s="471"/>
      <c r="F519" s="471"/>
      <c r="G519" s="471"/>
      <c r="H519" s="471"/>
      <c r="I519" s="471"/>
      <c r="J519" s="471"/>
      <c r="K519" s="471"/>
      <c r="L519" s="35"/>
      <c r="M519" s="472"/>
      <c r="N519" s="472"/>
      <c r="O519" s="35"/>
      <c r="P519" s="35"/>
      <c r="Q519" s="35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13.5" customHeight="1" x14ac:dyDescent="0.35">
      <c r="A520" s="35"/>
      <c r="B520" s="470"/>
      <c r="C520" s="35"/>
      <c r="D520" s="35"/>
      <c r="E520" s="471"/>
      <c r="F520" s="471"/>
      <c r="G520" s="471"/>
      <c r="H520" s="471"/>
      <c r="I520" s="471"/>
      <c r="J520" s="471"/>
      <c r="K520" s="471"/>
      <c r="L520" s="35"/>
      <c r="M520" s="472"/>
      <c r="N520" s="472"/>
      <c r="O520" s="35"/>
      <c r="P520" s="35"/>
      <c r="Q520" s="35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13.5" customHeight="1" x14ac:dyDescent="0.35">
      <c r="A521" s="35"/>
      <c r="B521" s="470"/>
      <c r="C521" s="35"/>
      <c r="D521" s="35"/>
      <c r="E521" s="471"/>
      <c r="F521" s="471"/>
      <c r="G521" s="471"/>
      <c r="H521" s="471"/>
      <c r="I521" s="471"/>
      <c r="J521" s="471"/>
      <c r="K521" s="471"/>
      <c r="L521" s="35"/>
      <c r="M521" s="472"/>
      <c r="N521" s="472"/>
      <c r="O521" s="35"/>
      <c r="P521" s="35"/>
      <c r="Q521" s="35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13.5" customHeight="1" x14ac:dyDescent="0.35">
      <c r="A522" s="35"/>
      <c r="B522" s="470"/>
      <c r="C522" s="35"/>
      <c r="D522" s="35"/>
      <c r="E522" s="471"/>
      <c r="F522" s="471"/>
      <c r="G522" s="471"/>
      <c r="H522" s="471"/>
      <c r="I522" s="471"/>
      <c r="J522" s="471"/>
      <c r="K522" s="471"/>
      <c r="L522" s="35"/>
      <c r="M522" s="472"/>
      <c r="N522" s="472"/>
      <c r="O522" s="35"/>
      <c r="P522" s="35"/>
      <c r="Q522" s="35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13.5" customHeight="1" x14ac:dyDescent="0.35">
      <c r="A523" s="35"/>
      <c r="B523" s="470"/>
      <c r="C523" s="35"/>
      <c r="D523" s="35"/>
      <c r="E523" s="471"/>
      <c r="F523" s="471"/>
      <c r="G523" s="471"/>
      <c r="H523" s="471"/>
      <c r="I523" s="471"/>
      <c r="J523" s="471"/>
      <c r="K523" s="471"/>
      <c r="L523" s="35"/>
      <c r="M523" s="472"/>
      <c r="N523" s="472"/>
      <c r="O523" s="35"/>
      <c r="P523" s="35"/>
      <c r="Q523" s="35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13.5" customHeight="1" x14ac:dyDescent="0.35">
      <c r="A524" s="35"/>
      <c r="B524" s="470"/>
      <c r="C524" s="35"/>
      <c r="D524" s="35"/>
      <c r="E524" s="471"/>
      <c r="F524" s="471"/>
      <c r="G524" s="471"/>
      <c r="H524" s="471"/>
      <c r="I524" s="471"/>
      <c r="J524" s="471"/>
      <c r="K524" s="471"/>
      <c r="L524" s="35"/>
      <c r="M524" s="472"/>
      <c r="N524" s="472"/>
      <c r="O524" s="35"/>
      <c r="P524" s="35"/>
      <c r="Q524" s="35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13.5" customHeight="1" x14ac:dyDescent="0.35">
      <c r="A525" s="35"/>
      <c r="B525" s="470"/>
      <c r="C525" s="35"/>
      <c r="D525" s="35"/>
      <c r="E525" s="471"/>
      <c r="F525" s="471"/>
      <c r="G525" s="471"/>
      <c r="H525" s="471"/>
      <c r="I525" s="471"/>
      <c r="J525" s="471"/>
      <c r="K525" s="471"/>
      <c r="L525" s="35"/>
      <c r="M525" s="472"/>
      <c r="N525" s="472"/>
      <c r="O525" s="35"/>
      <c r="P525" s="35"/>
      <c r="Q525" s="35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13.5" customHeight="1" x14ac:dyDescent="0.35">
      <c r="A526" s="35"/>
      <c r="B526" s="470"/>
      <c r="C526" s="35"/>
      <c r="D526" s="35"/>
      <c r="E526" s="471"/>
      <c r="F526" s="471"/>
      <c r="G526" s="471"/>
      <c r="H526" s="471"/>
      <c r="I526" s="471"/>
      <c r="J526" s="471"/>
      <c r="K526" s="471"/>
      <c r="L526" s="35"/>
      <c r="M526" s="472"/>
      <c r="N526" s="472"/>
      <c r="O526" s="35"/>
      <c r="P526" s="35"/>
      <c r="Q526" s="35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13.5" customHeight="1" x14ac:dyDescent="0.35">
      <c r="A527" s="35"/>
      <c r="B527" s="470"/>
      <c r="C527" s="35"/>
      <c r="D527" s="35"/>
      <c r="E527" s="471"/>
      <c r="F527" s="471"/>
      <c r="G527" s="471"/>
      <c r="H527" s="471"/>
      <c r="I527" s="471"/>
      <c r="J527" s="471"/>
      <c r="K527" s="471"/>
      <c r="L527" s="35"/>
      <c r="M527" s="472"/>
      <c r="N527" s="472"/>
      <c r="O527" s="35"/>
      <c r="P527" s="35"/>
      <c r="Q527" s="35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13.5" customHeight="1" x14ac:dyDescent="0.35">
      <c r="A528" s="35"/>
      <c r="B528" s="470"/>
      <c r="C528" s="35"/>
      <c r="D528" s="35"/>
      <c r="E528" s="471"/>
      <c r="F528" s="471"/>
      <c r="G528" s="471"/>
      <c r="H528" s="471"/>
      <c r="I528" s="471"/>
      <c r="J528" s="471"/>
      <c r="K528" s="471"/>
      <c r="L528" s="35"/>
      <c r="M528" s="472"/>
      <c r="N528" s="472"/>
      <c r="O528" s="35"/>
      <c r="P528" s="35"/>
      <c r="Q528" s="35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13.5" customHeight="1" x14ac:dyDescent="0.35">
      <c r="A529" s="35"/>
      <c r="B529" s="470"/>
      <c r="C529" s="35"/>
      <c r="D529" s="35"/>
      <c r="E529" s="471"/>
      <c r="F529" s="471"/>
      <c r="G529" s="471"/>
      <c r="H529" s="471"/>
      <c r="I529" s="471"/>
      <c r="J529" s="471"/>
      <c r="K529" s="471"/>
      <c r="L529" s="35"/>
      <c r="M529" s="472"/>
      <c r="N529" s="472"/>
      <c r="O529" s="35"/>
      <c r="P529" s="35"/>
      <c r="Q529" s="35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13.5" customHeight="1" x14ac:dyDescent="0.35">
      <c r="A530" s="35"/>
      <c r="B530" s="470"/>
      <c r="C530" s="35"/>
      <c r="D530" s="35"/>
      <c r="E530" s="471"/>
      <c r="F530" s="471"/>
      <c r="G530" s="471"/>
      <c r="H530" s="471"/>
      <c r="I530" s="471"/>
      <c r="J530" s="471"/>
      <c r="K530" s="471"/>
      <c r="L530" s="35"/>
      <c r="M530" s="472"/>
      <c r="N530" s="472"/>
      <c r="O530" s="35"/>
      <c r="P530" s="35"/>
      <c r="Q530" s="35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13.5" customHeight="1" x14ac:dyDescent="0.35">
      <c r="A531" s="35"/>
      <c r="B531" s="470"/>
      <c r="C531" s="35"/>
      <c r="D531" s="35"/>
      <c r="E531" s="471"/>
      <c r="F531" s="471"/>
      <c r="G531" s="471"/>
      <c r="H531" s="471"/>
      <c r="I531" s="471"/>
      <c r="J531" s="471"/>
      <c r="K531" s="471"/>
      <c r="L531" s="35"/>
      <c r="M531" s="472"/>
      <c r="N531" s="472"/>
      <c r="O531" s="35"/>
      <c r="P531" s="35"/>
      <c r="Q531" s="35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13.5" customHeight="1" x14ac:dyDescent="0.35">
      <c r="A532" s="35"/>
      <c r="B532" s="470"/>
      <c r="C532" s="35"/>
      <c r="D532" s="35"/>
      <c r="E532" s="471"/>
      <c r="F532" s="471"/>
      <c r="G532" s="471"/>
      <c r="H532" s="471"/>
      <c r="I532" s="471"/>
      <c r="J532" s="471"/>
      <c r="K532" s="471"/>
      <c r="L532" s="35"/>
      <c r="M532" s="472"/>
      <c r="N532" s="472"/>
      <c r="O532" s="35"/>
      <c r="P532" s="35"/>
      <c r="Q532" s="35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13.5" customHeight="1" x14ac:dyDescent="0.35">
      <c r="A533" s="35"/>
      <c r="B533" s="470"/>
      <c r="C533" s="35"/>
      <c r="D533" s="35"/>
      <c r="E533" s="471"/>
      <c r="F533" s="471"/>
      <c r="G533" s="471"/>
      <c r="H533" s="471"/>
      <c r="I533" s="471"/>
      <c r="J533" s="471"/>
      <c r="K533" s="471"/>
      <c r="L533" s="35"/>
      <c r="M533" s="472"/>
      <c r="N533" s="472"/>
      <c r="O533" s="35"/>
      <c r="P533" s="35"/>
      <c r="Q533" s="35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13.5" customHeight="1" x14ac:dyDescent="0.35">
      <c r="A534" s="35"/>
      <c r="B534" s="470"/>
      <c r="C534" s="35"/>
      <c r="D534" s="35"/>
      <c r="E534" s="471"/>
      <c r="F534" s="471"/>
      <c r="G534" s="471"/>
      <c r="H534" s="471"/>
      <c r="I534" s="471"/>
      <c r="J534" s="471"/>
      <c r="K534" s="471"/>
      <c r="L534" s="35"/>
      <c r="M534" s="472"/>
      <c r="N534" s="472"/>
      <c r="O534" s="35"/>
      <c r="P534" s="35"/>
      <c r="Q534" s="35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13.5" customHeight="1" x14ac:dyDescent="0.35">
      <c r="A535" s="35"/>
      <c r="B535" s="470"/>
      <c r="C535" s="35"/>
      <c r="D535" s="35"/>
      <c r="E535" s="471"/>
      <c r="F535" s="471"/>
      <c r="G535" s="471"/>
      <c r="H535" s="471"/>
      <c r="I535" s="471"/>
      <c r="J535" s="471"/>
      <c r="K535" s="471"/>
      <c r="L535" s="35"/>
      <c r="M535" s="472"/>
      <c r="N535" s="472"/>
      <c r="O535" s="35"/>
      <c r="P535" s="35"/>
      <c r="Q535" s="35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13.5" customHeight="1" x14ac:dyDescent="0.35">
      <c r="A536" s="35"/>
      <c r="B536" s="470"/>
      <c r="C536" s="35"/>
      <c r="D536" s="35"/>
      <c r="E536" s="471"/>
      <c r="F536" s="471"/>
      <c r="G536" s="471"/>
      <c r="H536" s="471"/>
      <c r="I536" s="471"/>
      <c r="J536" s="471"/>
      <c r="K536" s="471"/>
      <c r="L536" s="35"/>
      <c r="M536" s="472"/>
      <c r="N536" s="472"/>
      <c r="O536" s="35"/>
      <c r="P536" s="35"/>
      <c r="Q536" s="35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13.5" customHeight="1" x14ac:dyDescent="0.35">
      <c r="A537" s="35"/>
      <c r="B537" s="470"/>
      <c r="C537" s="35"/>
      <c r="D537" s="35"/>
      <c r="E537" s="471"/>
      <c r="F537" s="471"/>
      <c r="G537" s="471"/>
      <c r="H537" s="471"/>
      <c r="I537" s="471"/>
      <c r="J537" s="471"/>
      <c r="K537" s="471"/>
      <c r="L537" s="35"/>
      <c r="M537" s="472"/>
      <c r="N537" s="472"/>
      <c r="O537" s="35"/>
      <c r="P537" s="35"/>
      <c r="Q537" s="35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13.5" customHeight="1" x14ac:dyDescent="0.35">
      <c r="A538" s="35"/>
      <c r="B538" s="470"/>
      <c r="C538" s="35"/>
      <c r="D538" s="35"/>
      <c r="E538" s="471"/>
      <c r="F538" s="471"/>
      <c r="G538" s="471"/>
      <c r="H538" s="471"/>
      <c r="I538" s="471"/>
      <c r="J538" s="471"/>
      <c r="K538" s="471"/>
      <c r="L538" s="35"/>
      <c r="M538" s="472"/>
      <c r="N538" s="472"/>
      <c r="O538" s="35"/>
      <c r="P538" s="35"/>
      <c r="Q538" s="35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13.5" customHeight="1" x14ac:dyDescent="0.35">
      <c r="A539" s="35"/>
      <c r="B539" s="470"/>
      <c r="C539" s="35"/>
      <c r="D539" s="35"/>
      <c r="E539" s="471"/>
      <c r="F539" s="471"/>
      <c r="G539" s="471"/>
      <c r="H539" s="471"/>
      <c r="I539" s="471"/>
      <c r="J539" s="471"/>
      <c r="K539" s="471"/>
      <c r="L539" s="35"/>
      <c r="M539" s="472"/>
      <c r="N539" s="472"/>
      <c r="O539" s="35"/>
      <c r="P539" s="35"/>
      <c r="Q539" s="35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13.5" customHeight="1" x14ac:dyDescent="0.35">
      <c r="A540" s="35"/>
      <c r="B540" s="470"/>
      <c r="C540" s="35"/>
      <c r="D540" s="35"/>
      <c r="E540" s="471"/>
      <c r="F540" s="471"/>
      <c r="G540" s="471"/>
      <c r="H540" s="471"/>
      <c r="I540" s="471"/>
      <c r="J540" s="471"/>
      <c r="K540" s="471"/>
      <c r="L540" s="35"/>
      <c r="M540" s="472"/>
      <c r="N540" s="472"/>
      <c r="O540" s="35"/>
      <c r="P540" s="35"/>
      <c r="Q540" s="35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13.5" customHeight="1" x14ac:dyDescent="0.35">
      <c r="A541" s="35"/>
      <c r="B541" s="470"/>
      <c r="C541" s="35"/>
      <c r="D541" s="35"/>
      <c r="E541" s="471"/>
      <c r="F541" s="471"/>
      <c r="G541" s="471"/>
      <c r="H541" s="471"/>
      <c r="I541" s="471"/>
      <c r="J541" s="471"/>
      <c r="K541" s="471"/>
      <c r="L541" s="35"/>
      <c r="M541" s="472"/>
      <c r="N541" s="472"/>
      <c r="O541" s="35"/>
      <c r="P541" s="35"/>
      <c r="Q541" s="35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13.5" customHeight="1" x14ac:dyDescent="0.35">
      <c r="A542" s="35"/>
      <c r="B542" s="470"/>
      <c r="C542" s="35"/>
      <c r="D542" s="35"/>
      <c r="E542" s="471"/>
      <c r="F542" s="471"/>
      <c r="G542" s="471"/>
      <c r="H542" s="471"/>
      <c r="I542" s="471"/>
      <c r="J542" s="471"/>
      <c r="K542" s="471"/>
      <c r="L542" s="35"/>
      <c r="M542" s="472"/>
      <c r="N542" s="472"/>
      <c r="O542" s="35"/>
      <c r="P542" s="35"/>
      <c r="Q542" s="35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13.5" customHeight="1" x14ac:dyDescent="0.35">
      <c r="A543" s="35"/>
      <c r="B543" s="470"/>
      <c r="C543" s="35"/>
      <c r="D543" s="35"/>
      <c r="E543" s="471"/>
      <c r="F543" s="471"/>
      <c r="G543" s="471"/>
      <c r="H543" s="471"/>
      <c r="I543" s="471"/>
      <c r="J543" s="471"/>
      <c r="K543" s="471"/>
      <c r="L543" s="35"/>
      <c r="M543" s="472"/>
      <c r="N543" s="472"/>
      <c r="O543" s="35"/>
      <c r="P543" s="35"/>
      <c r="Q543" s="35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13.5" customHeight="1" x14ac:dyDescent="0.35">
      <c r="A544" s="35"/>
      <c r="B544" s="470"/>
      <c r="C544" s="35"/>
      <c r="D544" s="35"/>
      <c r="E544" s="471"/>
      <c r="F544" s="471"/>
      <c r="G544" s="471"/>
      <c r="H544" s="471"/>
      <c r="I544" s="471"/>
      <c r="J544" s="471"/>
      <c r="K544" s="471"/>
      <c r="L544" s="35"/>
      <c r="M544" s="472"/>
      <c r="N544" s="472"/>
      <c r="O544" s="35"/>
      <c r="P544" s="35"/>
      <c r="Q544" s="35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13.5" customHeight="1" x14ac:dyDescent="0.35">
      <c r="A545" s="35"/>
      <c r="B545" s="470"/>
      <c r="C545" s="35"/>
      <c r="D545" s="35"/>
      <c r="E545" s="471"/>
      <c r="F545" s="471"/>
      <c r="G545" s="471"/>
      <c r="H545" s="471"/>
      <c r="I545" s="471"/>
      <c r="J545" s="471"/>
      <c r="K545" s="471"/>
      <c r="L545" s="35"/>
      <c r="M545" s="472"/>
      <c r="N545" s="472"/>
      <c r="O545" s="35"/>
      <c r="P545" s="35"/>
      <c r="Q545" s="35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13.5" customHeight="1" x14ac:dyDescent="0.35">
      <c r="A546" s="35"/>
      <c r="B546" s="470"/>
      <c r="C546" s="35"/>
      <c r="D546" s="35"/>
      <c r="E546" s="471"/>
      <c r="F546" s="471"/>
      <c r="G546" s="471"/>
      <c r="H546" s="471"/>
      <c r="I546" s="471"/>
      <c r="J546" s="471"/>
      <c r="K546" s="471"/>
      <c r="L546" s="35"/>
      <c r="M546" s="472"/>
      <c r="N546" s="472"/>
      <c r="O546" s="35"/>
      <c r="P546" s="35"/>
      <c r="Q546" s="35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13.5" customHeight="1" x14ac:dyDescent="0.35">
      <c r="A547" s="35"/>
      <c r="B547" s="470"/>
      <c r="C547" s="35"/>
      <c r="D547" s="35"/>
      <c r="E547" s="471"/>
      <c r="F547" s="471"/>
      <c r="G547" s="471"/>
      <c r="H547" s="471"/>
      <c r="I547" s="471"/>
      <c r="J547" s="471"/>
      <c r="K547" s="471"/>
      <c r="L547" s="35"/>
      <c r="M547" s="472"/>
      <c r="N547" s="472"/>
      <c r="O547" s="35"/>
      <c r="P547" s="35"/>
      <c r="Q547" s="35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13.5" customHeight="1" x14ac:dyDescent="0.35">
      <c r="A548" s="35"/>
      <c r="B548" s="470"/>
      <c r="C548" s="35"/>
      <c r="D548" s="35"/>
      <c r="E548" s="471"/>
      <c r="F548" s="471"/>
      <c r="G548" s="471"/>
      <c r="H548" s="471"/>
      <c r="I548" s="471"/>
      <c r="J548" s="471"/>
      <c r="K548" s="471"/>
      <c r="L548" s="35"/>
      <c r="M548" s="472"/>
      <c r="N548" s="472"/>
      <c r="O548" s="35"/>
      <c r="P548" s="35"/>
      <c r="Q548" s="35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13.5" customHeight="1" x14ac:dyDescent="0.35">
      <c r="A549" s="35"/>
      <c r="B549" s="470"/>
      <c r="C549" s="35"/>
      <c r="D549" s="35"/>
      <c r="E549" s="471"/>
      <c r="F549" s="471"/>
      <c r="G549" s="471"/>
      <c r="H549" s="471"/>
      <c r="I549" s="471"/>
      <c r="J549" s="471"/>
      <c r="K549" s="471"/>
      <c r="L549" s="35"/>
      <c r="M549" s="472"/>
      <c r="N549" s="472"/>
      <c r="O549" s="35"/>
      <c r="P549" s="35"/>
      <c r="Q549" s="35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13.5" customHeight="1" x14ac:dyDescent="0.35">
      <c r="A550" s="35"/>
      <c r="B550" s="470"/>
      <c r="C550" s="35"/>
      <c r="D550" s="35"/>
      <c r="E550" s="471"/>
      <c r="F550" s="471"/>
      <c r="G550" s="471"/>
      <c r="H550" s="471"/>
      <c r="I550" s="471"/>
      <c r="J550" s="471"/>
      <c r="K550" s="471"/>
      <c r="L550" s="35"/>
      <c r="M550" s="472"/>
      <c r="N550" s="472"/>
      <c r="O550" s="35"/>
      <c r="P550" s="35"/>
      <c r="Q550" s="35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13.5" customHeight="1" x14ac:dyDescent="0.35">
      <c r="A551" s="35"/>
      <c r="B551" s="470"/>
      <c r="C551" s="35"/>
      <c r="D551" s="35"/>
      <c r="E551" s="471"/>
      <c r="F551" s="471"/>
      <c r="G551" s="471"/>
      <c r="H551" s="471"/>
      <c r="I551" s="471"/>
      <c r="J551" s="471"/>
      <c r="K551" s="471"/>
      <c r="L551" s="35"/>
      <c r="M551" s="472"/>
      <c r="N551" s="472"/>
      <c r="O551" s="35"/>
      <c r="P551" s="35"/>
      <c r="Q551" s="35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15.75" customHeight="1" x14ac:dyDescent="0.35">
      <c r="A552" s="38"/>
      <c r="B552" s="38"/>
      <c r="C552" s="38"/>
      <c r="D552" s="38"/>
      <c r="E552" s="489"/>
      <c r="F552" s="489"/>
      <c r="G552" s="489"/>
      <c r="H552" s="489"/>
      <c r="I552" s="489"/>
      <c r="J552" s="489"/>
      <c r="K552" s="489"/>
      <c r="L552" s="38"/>
      <c r="M552" s="472"/>
      <c r="N552" s="472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15.75" customHeight="1" x14ac:dyDescent="0.35">
      <c r="A553" s="38"/>
      <c r="B553" s="38"/>
      <c r="C553" s="38"/>
      <c r="D553" s="38"/>
      <c r="E553" s="489"/>
      <c r="F553" s="489"/>
      <c r="G553" s="489"/>
      <c r="H553" s="489"/>
      <c r="I553" s="489"/>
      <c r="J553" s="489"/>
      <c r="K553" s="489"/>
      <c r="L553" s="38"/>
      <c r="M553" s="472"/>
      <c r="N553" s="472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15.75" customHeight="1" x14ac:dyDescent="0.35">
      <c r="A554" s="38"/>
      <c r="B554" s="38"/>
      <c r="C554" s="38"/>
      <c r="D554" s="38"/>
      <c r="E554" s="489"/>
      <c r="F554" s="489"/>
      <c r="G554" s="489"/>
      <c r="H554" s="489"/>
      <c r="I554" s="489"/>
      <c r="J554" s="489"/>
      <c r="K554" s="489"/>
      <c r="L554" s="38"/>
      <c r="M554" s="472"/>
      <c r="N554" s="472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15.75" customHeight="1" x14ac:dyDescent="0.35">
      <c r="A555" s="38"/>
      <c r="B555" s="38"/>
      <c r="C555" s="38"/>
      <c r="D555" s="38"/>
      <c r="E555" s="489"/>
      <c r="F555" s="489"/>
      <c r="G555" s="489"/>
      <c r="H555" s="489"/>
      <c r="I555" s="489"/>
      <c r="J555" s="489"/>
      <c r="K555" s="489"/>
      <c r="L555" s="38"/>
      <c r="M555" s="472"/>
      <c r="N555" s="472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15.75" customHeight="1" x14ac:dyDescent="0.35">
      <c r="A556" s="38"/>
      <c r="B556" s="38"/>
      <c r="C556" s="38"/>
      <c r="D556" s="38"/>
      <c r="E556" s="489"/>
      <c r="F556" s="489"/>
      <c r="G556" s="489"/>
      <c r="H556" s="489"/>
      <c r="I556" s="489"/>
      <c r="J556" s="489"/>
      <c r="K556" s="489"/>
      <c r="L556" s="38"/>
      <c r="M556" s="472"/>
      <c r="N556" s="472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15.75" customHeight="1" x14ac:dyDescent="0.35">
      <c r="A557" s="38"/>
      <c r="B557" s="38"/>
      <c r="C557" s="38"/>
      <c r="D557" s="38"/>
      <c r="E557" s="489"/>
      <c r="F557" s="489"/>
      <c r="G557" s="489"/>
      <c r="H557" s="489"/>
      <c r="I557" s="489"/>
      <c r="J557" s="489"/>
      <c r="K557" s="489"/>
      <c r="L557" s="38"/>
      <c r="M557" s="472"/>
      <c r="N557" s="472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15.75" customHeight="1" x14ac:dyDescent="0.35">
      <c r="A558" s="38"/>
      <c r="B558" s="38"/>
      <c r="C558" s="38"/>
      <c r="D558" s="38"/>
      <c r="E558" s="489"/>
      <c r="F558" s="489"/>
      <c r="G558" s="489"/>
      <c r="H558" s="489"/>
      <c r="I558" s="489"/>
      <c r="J558" s="489"/>
      <c r="K558" s="489"/>
      <c r="L558" s="38"/>
      <c r="M558" s="472"/>
      <c r="N558" s="472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15.75" customHeight="1" x14ac:dyDescent="0.35">
      <c r="A559" s="38"/>
      <c r="B559" s="38"/>
      <c r="C559" s="38"/>
      <c r="D559" s="38"/>
      <c r="E559" s="489"/>
      <c r="F559" s="489"/>
      <c r="G559" s="489"/>
      <c r="H559" s="489"/>
      <c r="I559" s="489"/>
      <c r="J559" s="489"/>
      <c r="K559" s="489"/>
      <c r="L559" s="38"/>
      <c r="M559" s="472"/>
      <c r="N559" s="472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15.75" customHeight="1" x14ac:dyDescent="0.35">
      <c r="A560" s="38"/>
      <c r="B560" s="38"/>
      <c r="C560" s="38"/>
      <c r="D560" s="38"/>
      <c r="E560" s="489"/>
      <c r="F560" s="489"/>
      <c r="G560" s="489"/>
      <c r="H560" s="489"/>
      <c r="I560" s="489"/>
      <c r="J560" s="489"/>
      <c r="K560" s="489"/>
      <c r="L560" s="38"/>
      <c r="M560" s="472"/>
      <c r="N560" s="472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15.75" customHeight="1" x14ac:dyDescent="0.35">
      <c r="A561" s="38"/>
      <c r="B561" s="38"/>
      <c r="C561" s="38"/>
      <c r="D561" s="38"/>
      <c r="E561" s="489"/>
      <c r="F561" s="489"/>
      <c r="G561" s="489"/>
      <c r="H561" s="489"/>
      <c r="I561" s="489"/>
      <c r="J561" s="489"/>
      <c r="K561" s="489"/>
      <c r="L561" s="38"/>
      <c r="M561" s="472"/>
      <c r="N561" s="472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15.75" customHeight="1" x14ac:dyDescent="0.35">
      <c r="A562" s="38"/>
      <c r="B562" s="38"/>
      <c r="C562" s="38"/>
      <c r="D562" s="38"/>
      <c r="E562" s="489"/>
      <c r="F562" s="489"/>
      <c r="G562" s="489"/>
      <c r="H562" s="489"/>
      <c r="I562" s="489"/>
      <c r="J562" s="489"/>
      <c r="K562" s="489"/>
      <c r="L562" s="38"/>
      <c r="M562" s="472"/>
      <c r="N562" s="472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15.75" customHeight="1" x14ac:dyDescent="0.35">
      <c r="A563" s="38"/>
      <c r="B563" s="38"/>
      <c r="C563" s="38"/>
      <c r="D563" s="38"/>
      <c r="E563" s="489"/>
      <c r="F563" s="489"/>
      <c r="G563" s="489"/>
      <c r="H563" s="489"/>
      <c r="I563" s="489"/>
      <c r="J563" s="489"/>
      <c r="K563" s="489"/>
      <c r="L563" s="38"/>
      <c r="M563" s="472"/>
      <c r="N563" s="472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15.75" customHeight="1" x14ac:dyDescent="0.35">
      <c r="A564" s="38"/>
      <c r="B564" s="38"/>
      <c r="C564" s="38"/>
      <c r="D564" s="38"/>
      <c r="E564" s="489"/>
      <c r="F564" s="489"/>
      <c r="G564" s="489"/>
      <c r="H564" s="489"/>
      <c r="I564" s="489"/>
      <c r="J564" s="489"/>
      <c r="K564" s="489"/>
      <c r="L564" s="38"/>
      <c r="M564" s="472"/>
      <c r="N564" s="472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15.75" customHeight="1" x14ac:dyDescent="0.35">
      <c r="A565" s="38"/>
      <c r="B565" s="38"/>
      <c r="C565" s="38"/>
      <c r="D565" s="38"/>
      <c r="E565" s="489"/>
      <c r="F565" s="489"/>
      <c r="G565" s="489"/>
      <c r="H565" s="489"/>
      <c r="I565" s="489"/>
      <c r="J565" s="489"/>
      <c r="K565" s="489"/>
      <c r="L565" s="38"/>
      <c r="M565" s="472"/>
      <c r="N565" s="472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15.75" customHeight="1" x14ac:dyDescent="0.35">
      <c r="A566" s="38"/>
      <c r="B566" s="38"/>
      <c r="C566" s="38"/>
      <c r="D566" s="38"/>
      <c r="E566" s="489"/>
      <c r="F566" s="489"/>
      <c r="G566" s="489"/>
      <c r="H566" s="489"/>
      <c r="I566" s="489"/>
      <c r="J566" s="489"/>
      <c r="K566" s="489"/>
      <c r="L566" s="38"/>
      <c r="M566" s="472"/>
      <c r="N566" s="472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15.75" customHeight="1" x14ac:dyDescent="0.35">
      <c r="A567" s="38"/>
      <c r="B567" s="38"/>
      <c r="C567" s="38"/>
      <c r="D567" s="38"/>
      <c r="E567" s="489"/>
      <c r="F567" s="489"/>
      <c r="G567" s="489"/>
      <c r="H567" s="489"/>
      <c r="I567" s="489"/>
      <c r="J567" s="489"/>
      <c r="K567" s="489"/>
      <c r="L567" s="38"/>
      <c r="M567" s="472"/>
      <c r="N567" s="472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15.75" customHeight="1" x14ac:dyDescent="0.35">
      <c r="A568" s="38"/>
      <c r="B568" s="38"/>
      <c r="C568" s="38"/>
      <c r="D568" s="38"/>
      <c r="E568" s="489"/>
      <c r="F568" s="489"/>
      <c r="G568" s="489"/>
      <c r="H568" s="489"/>
      <c r="I568" s="489"/>
      <c r="J568" s="489"/>
      <c r="K568" s="489"/>
      <c r="L568" s="38"/>
      <c r="M568" s="472"/>
      <c r="N568" s="472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15.75" customHeight="1" x14ac:dyDescent="0.35">
      <c r="A569" s="38"/>
      <c r="B569" s="38"/>
      <c r="C569" s="38"/>
      <c r="D569" s="38"/>
      <c r="E569" s="489"/>
      <c r="F569" s="489"/>
      <c r="G569" s="489"/>
      <c r="H569" s="489"/>
      <c r="I569" s="489"/>
      <c r="J569" s="489"/>
      <c r="K569" s="489"/>
      <c r="L569" s="38"/>
      <c r="M569" s="472"/>
      <c r="N569" s="472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15.75" customHeight="1" x14ac:dyDescent="0.35">
      <c r="A570" s="38"/>
      <c r="B570" s="38"/>
      <c r="C570" s="38"/>
      <c r="D570" s="38"/>
      <c r="E570" s="489"/>
      <c r="F570" s="489"/>
      <c r="G570" s="489"/>
      <c r="H570" s="489"/>
      <c r="I570" s="489"/>
      <c r="J570" s="489"/>
      <c r="K570" s="489"/>
      <c r="L570" s="38"/>
      <c r="M570" s="472"/>
      <c r="N570" s="472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15.75" customHeight="1" x14ac:dyDescent="0.35">
      <c r="A571" s="38"/>
      <c r="B571" s="38"/>
      <c r="C571" s="38"/>
      <c r="D571" s="38"/>
      <c r="E571" s="489"/>
      <c r="F571" s="489"/>
      <c r="G571" s="489"/>
      <c r="H571" s="489"/>
      <c r="I571" s="489"/>
      <c r="J571" s="489"/>
      <c r="K571" s="489"/>
      <c r="L571" s="38"/>
      <c r="M571" s="472"/>
      <c r="N571" s="472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15.75" customHeight="1" x14ac:dyDescent="0.35">
      <c r="A572" s="38"/>
      <c r="B572" s="38"/>
      <c r="C572" s="38"/>
      <c r="D572" s="38"/>
      <c r="E572" s="489"/>
      <c r="F572" s="489"/>
      <c r="G572" s="489"/>
      <c r="H572" s="489"/>
      <c r="I572" s="489"/>
      <c r="J572" s="489"/>
      <c r="K572" s="489"/>
      <c r="L572" s="38"/>
      <c r="M572" s="472"/>
      <c r="N572" s="472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15.75" customHeight="1" x14ac:dyDescent="0.35">
      <c r="A573" s="38"/>
      <c r="B573" s="38"/>
      <c r="C573" s="38"/>
      <c r="D573" s="38"/>
      <c r="E573" s="489"/>
      <c r="F573" s="489"/>
      <c r="G573" s="489"/>
      <c r="H573" s="489"/>
      <c r="I573" s="489"/>
      <c r="J573" s="489"/>
      <c r="K573" s="489"/>
      <c r="L573" s="38"/>
      <c r="M573" s="472"/>
      <c r="N573" s="472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15.75" customHeight="1" x14ac:dyDescent="0.35">
      <c r="A574" s="38"/>
      <c r="B574" s="38"/>
      <c r="C574" s="38"/>
      <c r="D574" s="38"/>
      <c r="E574" s="489"/>
      <c r="F574" s="489"/>
      <c r="G574" s="489"/>
      <c r="H574" s="489"/>
      <c r="I574" s="489"/>
      <c r="J574" s="489"/>
      <c r="K574" s="489"/>
      <c r="L574" s="38"/>
      <c r="M574" s="472"/>
      <c r="N574" s="472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15.75" customHeight="1" x14ac:dyDescent="0.35">
      <c r="A575" s="38"/>
      <c r="B575" s="38"/>
      <c r="C575" s="38"/>
      <c r="D575" s="38"/>
      <c r="E575" s="489"/>
      <c r="F575" s="489"/>
      <c r="G575" s="489"/>
      <c r="H575" s="489"/>
      <c r="I575" s="489"/>
      <c r="J575" s="489"/>
      <c r="K575" s="489"/>
      <c r="L575" s="38"/>
      <c r="M575" s="472"/>
      <c r="N575" s="472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15.75" customHeight="1" x14ac:dyDescent="0.35">
      <c r="A576" s="38"/>
      <c r="B576" s="38"/>
      <c r="C576" s="38"/>
      <c r="D576" s="38"/>
      <c r="E576" s="489"/>
      <c r="F576" s="489"/>
      <c r="G576" s="489"/>
      <c r="H576" s="489"/>
      <c r="I576" s="489"/>
      <c r="J576" s="489"/>
      <c r="K576" s="489"/>
      <c r="L576" s="38"/>
      <c r="M576" s="472"/>
      <c r="N576" s="472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15.75" customHeight="1" x14ac:dyDescent="0.35">
      <c r="A577" s="38"/>
      <c r="B577" s="38"/>
      <c r="C577" s="38"/>
      <c r="D577" s="38"/>
      <c r="E577" s="489"/>
      <c r="F577" s="489"/>
      <c r="G577" s="489"/>
      <c r="H577" s="489"/>
      <c r="I577" s="489"/>
      <c r="J577" s="489"/>
      <c r="K577" s="489"/>
      <c r="L577" s="38"/>
      <c r="M577" s="472"/>
      <c r="N577" s="472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15.75" customHeight="1" x14ac:dyDescent="0.35">
      <c r="A578" s="38"/>
      <c r="B578" s="38"/>
      <c r="C578" s="38"/>
      <c r="D578" s="38"/>
      <c r="E578" s="489"/>
      <c r="F578" s="489"/>
      <c r="G578" s="489"/>
      <c r="H578" s="489"/>
      <c r="I578" s="489"/>
      <c r="J578" s="489"/>
      <c r="K578" s="489"/>
      <c r="L578" s="38"/>
      <c r="M578" s="472"/>
      <c r="N578" s="472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15.75" customHeight="1" x14ac:dyDescent="0.35">
      <c r="A579" s="38"/>
      <c r="B579" s="38"/>
      <c r="C579" s="38"/>
      <c r="D579" s="38"/>
      <c r="E579" s="489"/>
      <c r="F579" s="489"/>
      <c r="G579" s="489"/>
      <c r="H579" s="489"/>
      <c r="I579" s="489"/>
      <c r="J579" s="489"/>
      <c r="K579" s="489"/>
      <c r="L579" s="38"/>
      <c r="M579" s="472"/>
      <c r="N579" s="472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15.75" customHeight="1" x14ac:dyDescent="0.35">
      <c r="A580" s="38"/>
      <c r="B580" s="38"/>
      <c r="C580" s="38"/>
      <c r="D580" s="38"/>
      <c r="E580" s="489"/>
      <c r="F580" s="489"/>
      <c r="G580" s="489"/>
      <c r="H580" s="489"/>
      <c r="I580" s="489"/>
      <c r="J580" s="489"/>
      <c r="K580" s="489"/>
      <c r="L580" s="38"/>
      <c r="M580" s="472"/>
      <c r="N580" s="472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15.75" customHeight="1" x14ac:dyDescent="0.35">
      <c r="A581" s="38"/>
      <c r="B581" s="38"/>
      <c r="C581" s="38"/>
      <c r="D581" s="38"/>
      <c r="E581" s="489"/>
      <c r="F581" s="489"/>
      <c r="G581" s="489"/>
      <c r="H581" s="489"/>
      <c r="I581" s="489"/>
      <c r="J581" s="489"/>
      <c r="K581" s="489"/>
      <c r="L581" s="38"/>
      <c r="M581" s="472"/>
      <c r="N581" s="472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15.75" customHeight="1" x14ac:dyDescent="0.35">
      <c r="A582" s="38"/>
      <c r="B582" s="38"/>
      <c r="C582" s="38"/>
      <c r="D582" s="38"/>
      <c r="E582" s="489"/>
      <c r="F582" s="489"/>
      <c r="G582" s="489"/>
      <c r="H582" s="489"/>
      <c r="I582" s="489"/>
      <c r="J582" s="489"/>
      <c r="K582" s="489"/>
      <c r="L582" s="38"/>
      <c r="M582" s="472"/>
      <c r="N582" s="472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15.75" customHeight="1" x14ac:dyDescent="0.35">
      <c r="A583" s="38"/>
      <c r="B583" s="38"/>
      <c r="C583" s="38"/>
      <c r="D583" s="38"/>
      <c r="E583" s="489"/>
      <c r="F583" s="489"/>
      <c r="G583" s="489"/>
      <c r="H583" s="489"/>
      <c r="I583" s="489"/>
      <c r="J583" s="489"/>
      <c r="K583" s="489"/>
      <c r="L583" s="38"/>
      <c r="M583" s="472"/>
      <c r="N583" s="472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15.75" customHeight="1" x14ac:dyDescent="0.35">
      <c r="A584" s="38"/>
      <c r="B584" s="38"/>
      <c r="C584" s="38"/>
      <c r="D584" s="38"/>
      <c r="E584" s="489"/>
      <c r="F584" s="489"/>
      <c r="G584" s="489"/>
      <c r="H584" s="489"/>
      <c r="I584" s="489"/>
      <c r="J584" s="489"/>
      <c r="K584" s="489"/>
      <c r="L584" s="38"/>
      <c r="M584" s="472"/>
      <c r="N584" s="472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15.75" customHeight="1" x14ac:dyDescent="0.35">
      <c r="A585" s="38"/>
      <c r="B585" s="38"/>
      <c r="C585" s="38"/>
      <c r="D585" s="38"/>
      <c r="E585" s="489"/>
      <c r="F585" s="489"/>
      <c r="G585" s="489"/>
      <c r="H585" s="489"/>
      <c r="I585" s="489"/>
      <c r="J585" s="489"/>
      <c r="K585" s="489"/>
      <c r="L585" s="38"/>
      <c r="M585" s="472"/>
      <c r="N585" s="472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15.75" customHeight="1" x14ac:dyDescent="0.35">
      <c r="A586" s="38"/>
      <c r="B586" s="38"/>
      <c r="C586" s="38"/>
      <c r="D586" s="38"/>
      <c r="E586" s="489"/>
      <c r="F586" s="489"/>
      <c r="G586" s="489"/>
      <c r="H586" s="489"/>
      <c r="I586" s="489"/>
      <c r="J586" s="489"/>
      <c r="K586" s="489"/>
      <c r="L586" s="38"/>
      <c r="M586" s="472"/>
      <c r="N586" s="472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15.75" customHeight="1" x14ac:dyDescent="0.35">
      <c r="A587" s="38"/>
      <c r="B587" s="38"/>
      <c r="C587" s="38"/>
      <c r="D587" s="38"/>
      <c r="E587" s="489"/>
      <c r="F587" s="489"/>
      <c r="G587" s="489"/>
      <c r="H587" s="489"/>
      <c r="I587" s="489"/>
      <c r="J587" s="489"/>
      <c r="K587" s="489"/>
      <c r="L587" s="38"/>
      <c r="M587" s="472"/>
      <c r="N587" s="472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15.75" customHeight="1" x14ac:dyDescent="0.35">
      <c r="A588" s="38"/>
      <c r="B588" s="38"/>
      <c r="C588" s="38"/>
      <c r="D588" s="38"/>
      <c r="E588" s="489"/>
      <c r="F588" s="489"/>
      <c r="G588" s="489"/>
      <c r="H588" s="489"/>
      <c r="I588" s="489"/>
      <c r="J588" s="489"/>
      <c r="K588" s="489"/>
      <c r="L588" s="38"/>
      <c r="M588" s="472"/>
      <c r="N588" s="472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15.75" customHeight="1" x14ac:dyDescent="0.35">
      <c r="A589" s="38"/>
      <c r="B589" s="38"/>
      <c r="C589" s="38"/>
      <c r="D589" s="38"/>
      <c r="E589" s="489"/>
      <c r="F589" s="489"/>
      <c r="G589" s="489"/>
      <c r="H589" s="489"/>
      <c r="I589" s="489"/>
      <c r="J589" s="489"/>
      <c r="K589" s="489"/>
      <c r="L589" s="38"/>
      <c r="M589" s="472"/>
      <c r="N589" s="472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15.75" customHeight="1" x14ac:dyDescent="0.35">
      <c r="A590" s="38"/>
      <c r="B590" s="38"/>
      <c r="C590" s="38"/>
      <c r="D590" s="38"/>
      <c r="E590" s="489"/>
      <c r="F590" s="489"/>
      <c r="G590" s="489"/>
      <c r="H590" s="489"/>
      <c r="I590" s="489"/>
      <c r="J590" s="489"/>
      <c r="K590" s="489"/>
      <c r="L590" s="38"/>
      <c r="M590" s="472"/>
      <c r="N590" s="472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15.75" customHeight="1" x14ac:dyDescent="0.35">
      <c r="A591" s="38"/>
      <c r="B591" s="38"/>
      <c r="C591" s="38"/>
      <c r="D591" s="38"/>
      <c r="E591" s="489"/>
      <c r="F591" s="489"/>
      <c r="G591" s="489"/>
      <c r="H591" s="489"/>
      <c r="I591" s="489"/>
      <c r="J591" s="489"/>
      <c r="K591" s="489"/>
      <c r="L591" s="38"/>
      <c r="M591" s="472"/>
      <c r="N591" s="472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15.75" customHeight="1" x14ac:dyDescent="0.35">
      <c r="A592" s="38"/>
      <c r="B592" s="38"/>
      <c r="C592" s="38"/>
      <c r="D592" s="38"/>
      <c r="E592" s="489"/>
      <c r="F592" s="489"/>
      <c r="G592" s="489"/>
      <c r="H592" s="489"/>
      <c r="I592" s="489"/>
      <c r="J592" s="489"/>
      <c r="K592" s="489"/>
      <c r="L592" s="38"/>
      <c r="M592" s="472"/>
      <c r="N592" s="472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15.75" customHeight="1" x14ac:dyDescent="0.35">
      <c r="A593" s="38"/>
      <c r="B593" s="38"/>
      <c r="C593" s="38"/>
      <c r="D593" s="38"/>
      <c r="E593" s="489"/>
      <c r="F593" s="489"/>
      <c r="G593" s="489"/>
      <c r="H593" s="489"/>
      <c r="I593" s="489"/>
      <c r="J593" s="489"/>
      <c r="K593" s="489"/>
      <c r="L593" s="38"/>
      <c r="M593" s="472"/>
      <c r="N593" s="472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15.75" customHeight="1" x14ac:dyDescent="0.35">
      <c r="A594" s="38"/>
      <c r="B594" s="38"/>
      <c r="C594" s="38"/>
      <c r="D594" s="38"/>
      <c r="E594" s="489"/>
      <c r="F594" s="489"/>
      <c r="G594" s="489"/>
      <c r="H594" s="489"/>
      <c r="I594" s="489"/>
      <c r="J594" s="489"/>
      <c r="K594" s="489"/>
      <c r="L594" s="38"/>
      <c r="M594" s="472"/>
      <c r="N594" s="472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15.75" customHeight="1" x14ac:dyDescent="0.35">
      <c r="A595" s="38"/>
      <c r="B595" s="38"/>
      <c r="C595" s="38"/>
      <c r="D595" s="38"/>
      <c r="E595" s="489"/>
      <c r="F595" s="489"/>
      <c r="G595" s="489"/>
      <c r="H595" s="489"/>
      <c r="I595" s="489"/>
      <c r="J595" s="489"/>
      <c r="K595" s="489"/>
      <c r="L595" s="38"/>
      <c r="M595" s="472"/>
      <c r="N595" s="472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15.75" customHeight="1" x14ac:dyDescent="0.35">
      <c r="A596" s="38"/>
      <c r="B596" s="38"/>
      <c r="C596" s="38"/>
      <c r="D596" s="38"/>
      <c r="E596" s="489"/>
      <c r="F596" s="489"/>
      <c r="G596" s="489"/>
      <c r="H596" s="489"/>
      <c r="I596" s="489"/>
      <c r="J596" s="489"/>
      <c r="K596" s="489"/>
      <c r="L596" s="38"/>
      <c r="M596" s="472"/>
      <c r="N596" s="472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15.75" customHeight="1" x14ac:dyDescent="0.35">
      <c r="A597" s="38"/>
      <c r="B597" s="38"/>
      <c r="C597" s="38"/>
      <c r="D597" s="38"/>
      <c r="E597" s="489"/>
      <c r="F597" s="489"/>
      <c r="G597" s="489"/>
      <c r="H597" s="489"/>
      <c r="I597" s="489"/>
      <c r="J597" s="489"/>
      <c r="K597" s="489"/>
      <c r="L597" s="38"/>
      <c r="M597" s="472"/>
      <c r="N597" s="472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15.75" customHeight="1" x14ac:dyDescent="0.35">
      <c r="A598" s="38"/>
      <c r="B598" s="38"/>
      <c r="C598" s="38"/>
      <c r="D598" s="38"/>
      <c r="E598" s="489"/>
      <c r="F598" s="489"/>
      <c r="G598" s="489"/>
      <c r="H598" s="489"/>
      <c r="I598" s="489"/>
      <c r="J598" s="489"/>
      <c r="K598" s="489"/>
      <c r="L598" s="38"/>
      <c r="M598" s="472"/>
      <c r="N598" s="472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15.75" customHeight="1" x14ac:dyDescent="0.35">
      <c r="A599" s="38"/>
      <c r="B599" s="38"/>
      <c r="C599" s="38"/>
      <c r="D599" s="38"/>
      <c r="E599" s="489"/>
      <c r="F599" s="489"/>
      <c r="G599" s="489"/>
      <c r="H599" s="489"/>
      <c r="I599" s="489"/>
      <c r="J599" s="489"/>
      <c r="K599" s="489"/>
      <c r="L599" s="38"/>
      <c r="M599" s="472"/>
      <c r="N599" s="472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15.75" customHeight="1" x14ac:dyDescent="0.35">
      <c r="A600" s="38"/>
      <c r="B600" s="38"/>
      <c r="C600" s="38"/>
      <c r="D600" s="38"/>
      <c r="E600" s="489"/>
      <c r="F600" s="489"/>
      <c r="G600" s="489"/>
      <c r="H600" s="489"/>
      <c r="I600" s="489"/>
      <c r="J600" s="489"/>
      <c r="K600" s="489"/>
      <c r="L600" s="38"/>
      <c r="M600" s="472"/>
      <c r="N600" s="472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15.75" customHeight="1" x14ac:dyDescent="0.35">
      <c r="A601" s="38"/>
      <c r="B601" s="38"/>
      <c r="C601" s="38"/>
      <c r="D601" s="38"/>
      <c r="E601" s="489"/>
      <c r="F601" s="489"/>
      <c r="G601" s="489"/>
      <c r="H601" s="489"/>
      <c r="I601" s="489"/>
      <c r="J601" s="489"/>
      <c r="K601" s="489"/>
      <c r="L601" s="38"/>
      <c r="M601" s="472"/>
      <c r="N601" s="472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15.75" customHeight="1" x14ac:dyDescent="0.35">
      <c r="A602" s="38"/>
      <c r="B602" s="38"/>
      <c r="C602" s="38"/>
      <c r="D602" s="38"/>
      <c r="E602" s="489"/>
      <c r="F602" s="489"/>
      <c r="G602" s="489"/>
      <c r="H602" s="489"/>
      <c r="I602" s="489"/>
      <c r="J602" s="489"/>
      <c r="K602" s="489"/>
      <c r="L602" s="38"/>
      <c r="M602" s="472"/>
      <c r="N602" s="472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15.75" customHeight="1" x14ac:dyDescent="0.35">
      <c r="A603" s="38"/>
      <c r="B603" s="38"/>
      <c r="C603" s="38"/>
      <c r="D603" s="38"/>
      <c r="E603" s="489"/>
      <c r="F603" s="489"/>
      <c r="G603" s="489"/>
      <c r="H603" s="489"/>
      <c r="I603" s="489"/>
      <c r="J603" s="489"/>
      <c r="K603" s="489"/>
      <c r="L603" s="38"/>
      <c r="M603" s="472"/>
      <c r="N603" s="472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15.75" customHeight="1" x14ac:dyDescent="0.35">
      <c r="A604" s="38"/>
      <c r="B604" s="38"/>
      <c r="C604" s="38"/>
      <c r="D604" s="38"/>
      <c r="E604" s="489"/>
      <c r="F604" s="489"/>
      <c r="G604" s="489"/>
      <c r="H604" s="489"/>
      <c r="I604" s="489"/>
      <c r="J604" s="489"/>
      <c r="K604" s="489"/>
      <c r="L604" s="38"/>
      <c r="M604" s="472"/>
      <c r="N604" s="472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15.75" customHeight="1" x14ac:dyDescent="0.35">
      <c r="A605" s="38"/>
      <c r="B605" s="38"/>
      <c r="C605" s="38"/>
      <c r="D605" s="38"/>
      <c r="E605" s="489"/>
      <c r="F605" s="489"/>
      <c r="G605" s="489"/>
      <c r="H605" s="489"/>
      <c r="I605" s="489"/>
      <c r="J605" s="489"/>
      <c r="K605" s="489"/>
      <c r="L605" s="38"/>
      <c r="M605" s="472"/>
      <c r="N605" s="472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15.75" customHeight="1" x14ac:dyDescent="0.35">
      <c r="A606" s="38"/>
      <c r="B606" s="38"/>
      <c r="C606" s="38"/>
      <c r="D606" s="38"/>
      <c r="E606" s="489"/>
      <c r="F606" s="489"/>
      <c r="G606" s="489"/>
      <c r="H606" s="489"/>
      <c r="I606" s="489"/>
      <c r="J606" s="489"/>
      <c r="K606" s="489"/>
      <c r="L606" s="38"/>
      <c r="M606" s="472"/>
      <c r="N606" s="472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15.75" customHeight="1" x14ac:dyDescent="0.35">
      <c r="A607" s="38"/>
      <c r="B607" s="38"/>
      <c r="C607" s="38"/>
      <c r="D607" s="38"/>
      <c r="E607" s="489"/>
      <c r="F607" s="489"/>
      <c r="G607" s="489"/>
      <c r="H607" s="489"/>
      <c r="I607" s="489"/>
      <c r="J607" s="489"/>
      <c r="K607" s="489"/>
      <c r="L607" s="38"/>
      <c r="M607" s="472"/>
      <c r="N607" s="472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15.75" customHeight="1" x14ac:dyDescent="0.35">
      <c r="A608" s="38"/>
      <c r="B608" s="38"/>
      <c r="C608" s="38"/>
      <c r="D608" s="38"/>
      <c r="E608" s="489"/>
      <c r="F608" s="489"/>
      <c r="G608" s="489"/>
      <c r="H608" s="489"/>
      <c r="I608" s="489"/>
      <c r="J608" s="489"/>
      <c r="K608" s="489"/>
      <c r="L608" s="38"/>
      <c r="M608" s="472"/>
      <c r="N608" s="472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15.75" customHeight="1" x14ac:dyDescent="0.35">
      <c r="A609" s="38"/>
      <c r="B609" s="38"/>
      <c r="C609" s="38"/>
      <c r="D609" s="38"/>
      <c r="E609" s="489"/>
      <c r="F609" s="489"/>
      <c r="G609" s="489"/>
      <c r="H609" s="489"/>
      <c r="I609" s="489"/>
      <c r="J609" s="489"/>
      <c r="K609" s="489"/>
      <c r="L609" s="38"/>
      <c r="M609" s="472"/>
      <c r="N609" s="472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15.75" customHeight="1" x14ac:dyDescent="0.35">
      <c r="A610" s="38"/>
      <c r="B610" s="38"/>
      <c r="C610" s="38"/>
      <c r="D610" s="38"/>
      <c r="E610" s="489"/>
      <c r="F610" s="489"/>
      <c r="G610" s="489"/>
      <c r="H610" s="489"/>
      <c r="I610" s="489"/>
      <c r="J610" s="489"/>
      <c r="K610" s="489"/>
      <c r="L610" s="38"/>
      <c r="M610" s="472"/>
      <c r="N610" s="472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15.75" customHeight="1" x14ac:dyDescent="0.35">
      <c r="A611" s="38"/>
      <c r="B611" s="38"/>
      <c r="C611" s="38"/>
      <c r="D611" s="38"/>
      <c r="E611" s="489"/>
      <c r="F611" s="489"/>
      <c r="G611" s="489"/>
      <c r="H611" s="489"/>
      <c r="I611" s="489"/>
      <c r="J611" s="489"/>
      <c r="K611" s="489"/>
      <c r="L611" s="38"/>
      <c r="M611" s="472"/>
      <c r="N611" s="472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15.75" customHeight="1" x14ac:dyDescent="0.35">
      <c r="A612" s="38"/>
      <c r="B612" s="38"/>
      <c r="C612" s="38"/>
      <c r="D612" s="38"/>
      <c r="E612" s="489"/>
      <c r="F612" s="489"/>
      <c r="G612" s="489"/>
      <c r="H612" s="489"/>
      <c r="I612" s="489"/>
      <c r="J612" s="489"/>
      <c r="K612" s="489"/>
      <c r="L612" s="38"/>
      <c r="M612" s="472"/>
      <c r="N612" s="472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15.75" customHeight="1" x14ac:dyDescent="0.35">
      <c r="A613" s="38"/>
      <c r="B613" s="38"/>
      <c r="C613" s="38"/>
      <c r="D613" s="38"/>
      <c r="E613" s="489"/>
      <c r="F613" s="489"/>
      <c r="G613" s="489"/>
      <c r="H613" s="489"/>
      <c r="I613" s="489"/>
      <c r="J613" s="489"/>
      <c r="K613" s="489"/>
      <c r="L613" s="38"/>
      <c r="M613" s="472"/>
      <c r="N613" s="472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15.75" customHeight="1" x14ac:dyDescent="0.35">
      <c r="A614" s="38"/>
      <c r="B614" s="38"/>
      <c r="C614" s="38"/>
      <c r="D614" s="38"/>
      <c r="E614" s="489"/>
      <c r="F614" s="489"/>
      <c r="G614" s="489"/>
      <c r="H614" s="489"/>
      <c r="I614" s="489"/>
      <c r="J614" s="489"/>
      <c r="K614" s="489"/>
      <c r="L614" s="38"/>
      <c r="M614" s="472"/>
      <c r="N614" s="472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15.75" customHeight="1" x14ac:dyDescent="0.35">
      <c r="A615" s="38"/>
      <c r="B615" s="38"/>
      <c r="C615" s="38"/>
      <c r="D615" s="38"/>
      <c r="E615" s="489"/>
      <c r="F615" s="489"/>
      <c r="G615" s="489"/>
      <c r="H615" s="489"/>
      <c r="I615" s="489"/>
      <c r="J615" s="489"/>
      <c r="K615" s="489"/>
      <c r="L615" s="38"/>
      <c r="M615" s="472"/>
      <c r="N615" s="472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15.75" customHeight="1" x14ac:dyDescent="0.35">
      <c r="A616" s="38"/>
      <c r="B616" s="38"/>
      <c r="C616" s="38"/>
      <c r="D616" s="38"/>
      <c r="E616" s="489"/>
      <c r="F616" s="489"/>
      <c r="G616" s="489"/>
      <c r="H616" s="489"/>
      <c r="I616" s="489"/>
      <c r="J616" s="489"/>
      <c r="K616" s="489"/>
      <c r="L616" s="38"/>
      <c r="M616" s="472"/>
      <c r="N616" s="472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15.75" customHeight="1" x14ac:dyDescent="0.35">
      <c r="A617" s="38"/>
      <c r="B617" s="38"/>
      <c r="C617" s="38"/>
      <c r="D617" s="38"/>
      <c r="E617" s="489"/>
      <c r="F617" s="489"/>
      <c r="G617" s="489"/>
      <c r="H617" s="489"/>
      <c r="I617" s="489"/>
      <c r="J617" s="489"/>
      <c r="K617" s="489"/>
      <c r="L617" s="38"/>
      <c r="M617" s="472"/>
      <c r="N617" s="472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15.75" customHeight="1" x14ac:dyDescent="0.35">
      <c r="A618" s="38"/>
      <c r="B618" s="38"/>
      <c r="C618" s="38"/>
      <c r="D618" s="38"/>
      <c r="E618" s="489"/>
      <c r="F618" s="489"/>
      <c r="G618" s="489"/>
      <c r="H618" s="489"/>
      <c r="I618" s="489"/>
      <c r="J618" s="489"/>
      <c r="K618" s="489"/>
      <c r="L618" s="38"/>
      <c r="M618" s="472"/>
      <c r="N618" s="472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15.75" customHeight="1" x14ac:dyDescent="0.35">
      <c r="A619" s="38"/>
      <c r="B619" s="38"/>
      <c r="C619" s="38"/>
      <c r="D619" s="38"/>
      <c r="E619" s="489"/>
      <c r="F619" s="489"/>
      <c r="G619" s="489"/>
      <c r="H619" s="489"/>
      <c r="I619" s="489"/>
      <c r="J619" s="489"/>
      <c r="K619" s="489"/>
      <c r="L619" s="38"/>
      <c r="M619" s="472"/>
      <c r="N619" s="472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15.75" customHeight="1" x14ac:dyDescent="0.35">
      <c r="A620" s="38"/>
      <c r="B620" s="38"/>
      <c r="C620" s="38"/>
      <c r="D620" s="38"/>
      <c r="E620" s="489"/>
      <c r="F620" s="489"/>
      <c r="G620" s="489"/>
      <c r="H620" s="489"/>
      <c r="I620" s="489"/>
      <c r="J620" s="489"/>
      <c r="K620" s="489"/>
      <c r="L620" s="38"/>
      <c r="M620" s="472"/>
      <c r="N620" s="472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15.75" customHeight="1" x14ac:dyDescent="0.35">
      <c r="A621" s="38"/>
      <c r="B621" s="38"/>
      <c r="C621" s="38"/>
      <c r="D621" s="38"/>
      <c r="E621" s="489"/>
      <c r="F621" s="489"/>
      <c r="G621" s="489"/>
      <c r="H621" s="489"/>
      <c r="I621" s="489"/>
      <c r="J621" s="489"/>
      <c r="K621" s="489"/>
      <c r="L621" s="38"/>
      <c r="M621" s="472"/>
      <c r="N621" s="472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15.75" customHeight="1" x14ac:dyDescent="0.35">
      <c r="A622" s="38"/>
      <c r="B622" s="38"/>
      <c r="C622" s="38"/>
      <c r="D622" s="38"/>
      <c r="E622" s="489"/>
      <c r="F622" s="489"/>
      <c r="G622" s="489"/>
      <c r="H622" s="489"/>
      <c r="I622" s="489"/>
      <c r="J622" s="489"/>
      <c r="K622" s="489"/>
      <c r="L622" s="38"/>
      <c r="M622" s="472"/>
      <c r="N622" s="472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15.75" customHeight="1" x14ac:dyDescent="0.35">
      <c r="A623" s="38"/>
      <c r="B623" s="38"/>
      <c r="C623" s="38"/>
      <c r="D623" s="38"/>
      <c r="E623" s="489"/>
      <c r="F623" s="489"/>
      <c r="G623" s="489"/>
      <c r="H623" s="489"/>
      <c r="I623" s="489"/>
      <c r="J623" s="489"/>
      <c r="K623" s="489"/>
      <c r="L623" s="38"/>
      <c r="M623" s="472"/>
      <c r="N623" s="472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15.75" customHeight="1" x14ac:dyDescent="0.35">
      <c r="A624" s="38"/>
      <c r="B624" s="38"/>
      <c r="C624" s="38"/>
      <c r="D624" s="38"/>
      <c r="E624" s="489"/>
      <c r="F624" s="489"/>
      <c r="G624" s="489"/>
      <c r="H624" s="489"/>
      <c r="I624" s="489"/>
      <c r="J624" s="489"/>
      <c r="K624" s="489"/>
      <c r="L624" s="38"/>
      <c r="M624" s="472"/>
      <c r="N624" s="472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15.75" customHeight="1" x14ac:dyDescent="0.35">
      <c r="A625" s="38"/>
      <c r="B625" s="38"/>
      <c r="C625" s="38"/>
      <c r="D625" s="38"/>
      <c r="E625" s="489"/>
      <c r="F625" s="489"/>
      <c r="G625" s="489"/>
      <c r="H625" s="489"/>
      <c r="I625" s="489"/>
      <c r="J625" s="489"/>
      <c r="K625" s="489"/>
      <c r="L625" s="38"/>
      <c r="M625" s="472"/>
      <c r="N625" s="472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15.75" customHeight="1" x14ac:dyDescent="0.35">
      <c r="A626" s="38"/>
      <c r="B626" s="38"/>
      <c r="C626" s="38"/>
      <c r="D626" s="38"/>
      <c r="E626" s="489"/>
      <c r="F626" s="489"/>
      <c r="G626" s="489"/>
      <c r="H626" s="489"/>
      <c r="I626" s="489"/>
      <c r="J626" s="489"/>
      <c r="K626" s="489"/>
      <c r="L626" s="38"/>
      <c r="M626" s="472"/>
      <c r="N626" s="472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15.75" customHeight="1" x14ac:dyDescent="0.35">
      <c r="A627" s="38"/>
      <c r="B627" s="38"/>
      <c r="C627" s="38"/>
      <c r="D627" s="38"/>
      <c r="E627" s="489"/>
      <c r="F627" s="489"/>
      <c r="G627" s="489"/>
      <c r="H627" s="489"/>
      <c r="I627" s="489"/>
      <c r="J627" s="489"/>
      <c r="K627" s="489"/>
      <c r="L627" s="38"/>
      <c r="M627" s="472"/>
      <c r="N627" s="472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15.75" customHeight="1" x14ac:dyDescent="0.35">
      <c r="A628" s="38"/>
      <c r="B628" s="38"/>
      <c r="C628" s="38"/>
      <c r="D628" s="38"/>
      <c r="E628" s="489"/>
      <c r="F628" s="489"/>
      <c r="G628" s="489"/>
      <c r="H628" s="489"/>
      <c r="I628" s="489"/>
      <c r="J628" s="489"/>
      <c r="K628" s="489"/>
      <c r="L628" s="38"/>
      <c r="M628" s="472"/>
      <c r="N628" s="472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15.75" customHeight="1" x14ac:dyDescent="0.35">
      <c r="A629" s="38"/>
      <c r="B629" s="38"/>
      <c r="C629" s="38"/>
      <c r="D629" s="38"/>
      <c r="E629" s="489"/>
      <c r="F629" s="489"/>
      <c r="G629" s="489"/>
      <c r="H629" s="489"/>
      <c r="I629" s="489"/>
      <c r="J629" s="489"/>
      <c r="K629" s="489"/>
      <c r="L629" s="38"/>
      <c r="M629" s="472"/>
      <c r="N629" s="472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15.75" customHeight="1" x14ac:dyDescent="0.35">
      <c r="A630" s="38"/>
      <c r="B630" s="38"/>
      <c r="C630" s="38"/>
      <c r="D630" s="38"/>
      <c r="E630" s="489"/>
      <c r="F630" s="489"/>
      <c r="G630" s="489"/>
      <c r="H630" s="489"/>
      <c r="I630" s="489"/>
      <c r="J630" s="489"/>
      <c r="K630" s="489"/>
      <c r="L630" s="38"/>
      <c r="M630" s="472"/>
      <c r="N630" s="472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15.75" customHeight="1" x14ac:dyDescent="0.35">
      <c r="A631" s="38"/>
      <c r="B631" s="38"/>
      <c r="C631" s="38"/>
      <c r="D631" s="38"/>
      <c r="E631" s="489"/>
      <c r="F631" s="489"/>
      <c r="G631" s="489"/>
      <c r="H631" s="489"/>
      <c r="I631" s="489"/>
      <c r="J631" s="489"/>
      <c r="K631" s="489"/>
      <c r="L631" s="38"/>
      <c r="M631" s="472"/>
      <c r="N631" s="472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15.75" customHeight="1" x14ac:dyDescent="0.35">
      <c r="A632" s="38"/>
      <c r="B632" s="38"/>
      <c r="C632" s="38"/>
      <c r="D632" s="38"/>
      <c r="E632" s="489"/>
      <c r="F632" s="489"/>
      <c r="G632" s="489"/>
      <c r="H632" s="489"/>
      <c r="I632" s="489"/>
      <c r="J632" s="489"/>
      <c r="K632" s="489"/>
      <c r="L632" s="38"/>
      <c r="M632" s="472"/>
      <c r="N632" s="472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15.75" customHeight="1" x14ac:dyDescent="0.35">
      <c r="A633" s="38"/>
      <c r="B633" s="38"/>
      <c r="C633" s="38"/>
      <c r="D633" s="38"/>
      <c r="E633" s="489"/>
      <c r="F633" s="489"/>
      <c r="G633" s="489"/>
      <c r="H633" s="489"/>
      <c r="I633" s="489"/>
      <c r="J633" s="489"/>
      <c r="K633" s="489"/>
      <c r="L633" s="38"/>
      <c r="M633" s="472"/>
      <c r="N633" s="472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15.75" customHeight="1" x14ac:dyDescent="0.35">
      <c r="A634" s="38"/>
      <c r="B634" s="38"/>
      <c r="C634" s="38"/>
      <c r="D634" s="38"/>
      <c r="E634" s="489"/>
      <c r="F634" s="489"/>
      <c r="G634" s="489"/>
      <c r="H634" s="489"/>
      <c r="I634" s="489"/>
      <c r="J634" s="489"/>
      <c r="K634" s="489"/>
      <c r="L634" s="38"/>
      <c r="M634" s="472"/>
      <c r="N634" s="472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15.75" customHeight="1" x14ac:dyDescent="0.35">
      <c r="A635" s="38"/>
      <c r="B635" s="38"/>
      <c r="C635" s="38"/>
      <c r="D635" s="38"/>
      <c r="E635" s="489"/>
      <c r="F635" s="489"/>
      <c r="G635" s="489"/>
      <c r="H635" s="489"/>
      <c r="I635" s="489"/>
      <c r="J635" s="489"/>
      <c r="K635" s="489"/>
      <c r="L635" s="38"/>
      <c r="M635" s="472"/>
      <c r="N635" s="472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15.75" customHeight="1" x14ac:dyDescent="0.35">
      <c r="A636" s="38"/>
      <c r="B636" s="38"/>
      <c r="C636" s="38"/>
      <c r="D636" s="38"/>
      <c r="E636" s="489"/>
      <c r="F636" s="489"/>
      <c r="G636" s="489"/>
      <c r="H636" s="489"/>
      <c r="I636" s="489"/>
      <c r="J636" s="489"/>
      <c r="K636" s="489"/>
      <c r="L636" s="38"/>
      <c r="M636" s="472"/>
      <c r="N636" s="472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15.75" customHeight="1" x14ac:dyDescent="0.35">
      <c r="A637" s="38"/>
      <c r="B637" s="38"/>
      <c r="C637" s="38"/>
      <c r="D637" s="38"/>
      <c r="E637" s="489"/>
      <c r="F637" s="489"/>
      <c r="G637" s="489"/>
      <c r="H637" s="489"/>
      <c r="I637" s="489"/>
      <c r="J637" s="489"/>
      <c r="K637" s="489"/>
      <c r="L637" s="38"/>
      <c r="M637" s="472"/>
      <c r="N637" s="472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15.75" customHeight="1" x14ac:dyDescent="0.35">
      <c r="A638" s="38"/>
      <c r="B638" s="38"/>
      <c r="C638" s="38"/>
      <c r="D638" s="38"/>
      <c r="E638" s="489"/>
      <c r="F638" s="489"/>
      <c r="G638" s="489"/>
      <c r="H638" s="489"/>
      <c r="I638" s="489"/>
      <c r="J638" s="489"/>
      <c r="K638" s="489"/>
      <c r="L638" s="38"/>
      <c r="M638" s="472"/>
      <c r="N638" s="472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15.75" customHeight="1" x14ac:dyDescent="0.35">
      <c r="A639" s="38"/>
      <c r="B639" s="38"/>
      <c r="C639" s="38"/>
      <c r="D639" s="38"/>
      <c r="E639" s="489"/>
      <c r="F639" s="489"/>
      <c r="G639" s="489"/>
      <c r="H639" s="489"/>
      <c r="I639" s="489"/>
      <c r="J639" s="489"/>
      <c r="K639" s="489"/>
      <c r="L639" s="38"/>
      <c r="M639" s="472"/>
      <c r="N639" s="472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15.75" customHeight="1" x14ac:dyDescent="0.35">
      <c r="A640" s="38"/>
      <c r="B640" s="38"/>
      <c r="C640" s="38"/>
      <c r="D640" s="38"/>
      <c r="E640" s="489"/>
      <c r="F640" s="489"/>
      <c r="G640" s="489"/>
      <c r="H640" s="489"/>
      <c r="I640" s="489"/>
      <c r="J640" s="489"/>
      <c r="K640" s="489"/>
      <c r="L640" s="38"/>
      <c r="M640" s="472"/>
      <c r="N640" s="472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15.75" customHeight="1" x14ac:dyDescent="0.35">
      <c r="A641" s="38"/>
      <c r="B641" s="38"/>
      <c r="C641" s="38"/>
      <c r="D641" s="38"/>
      <c r="E641" s="489"/>
      <c r="F641" s="489"/>
      <c r="G641" s="489"/>
      <c r="H641" s="489"/>
      <c r="I641" s="489"/>
      <c r="J641" s="489"/>
      <c r="K641" s="489"/>
      <c r="L641" s="38"/>
      <c r="M641" s="472"/>
      <c r="N641" s="472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15.75" customHeight="1" x14ac:dyDescent="0.35">
      <c r="A642" s="38"/>
      <c r="B642" s="38"/>
      <c r="C642" s="38"/>
      <c r="D642" s="38"/>
      <c r="E642" s="489"/>
      <c r="F642" s="489"/>
      <c r="G642" s="489"/>
      <c r="H642" s="489"/>
      <c r="I642" s="489"/>
      <c r="J642" s="489"/>
      <c r="K642" s="489"/>
      <c r="L642" s="38"/>
      <c r="M642" s="472"/>
      <c r="N642" s="472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15.75" customHeight="1" x14ac:dyDescent="0.35">
      <c r="A643" s="38"/>
      <c r="B643" s="38"/>
      <c r="C643" s="38"/>
      <c r="D643" s="38"/>
      <c r="E643" s="489"/>
      <c r="F643" s="489"/>
      <c r="G643" s="489"/>
      <c r="H643" s="489"/>
      <c r="I643" s="489"/>
      <c r="J643" s="489"/>
      <c r="K643" s="489"/>
      <c r="L643" s="38"/>
      <c r="M643" s="472"/>
      <c r="N643" s="472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15.75" customHeight="1" x14ac:dyDescent="0.35">
      <c r="A644" s="38"/>
      <c r="B644" s="38"/>
      <c r="C644" s="38"/>
      <c r="D644" s="38"/>
      <c r="E644" s="489"/>
      <c r="F644" s="489"/>
      <c r="G644" s="489"/>
      <c r="H644" s="489"/>
      <c r="I644" s="489"/>
      <c r="J644" s="489"/>
      <c r="K644" s="489"/>
      <c r="L644" s="38"/>
      <c r="M644" s="472"/>
      <c r="N644" s="472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15.75" customHeight="1" x14ac:dyDescent="0.35">
      <c r="A645" s="38"/>
      <c r="B645" s="38"/>
      <c r="C645" s="38"/>
      <c r="D645" s="38"/>
      <c r="E645" s="489"/>
      <c r="F645" s="489"/>
      <c r="G645" s="489"/>
      <c r="H645" s="489"/>
      <c r="I645" s="489"/>
      <c r="J645" s="489"/>
      <c r="K645" s="489"/>
      <c r="L645" s="38"/>
      <c r="M645" s="472"/>
      <c r="N645" s="472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15.75" customHeight="1" x14ac:dyDescent="0.35">
      <c r="A646" s="38"/>
      <c r="B646" s="38"/>
      <c r="C646" s="38"/>
      <c r="D646" s="38"/>
      <c r="E646" s="489"/>
      <c r="F646" s="489"/>
      <c r="G646" s="489"/>
      <c r="H646" s="489"/>
      <c r="I646" s="489"/>
      <c r="J646" s="489"/>
      <c r="K646" s="489"/>
      <c r="L646" s="38"/>
      <c r="M646" s="472"/>
      <c r="N646" s="472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15.75" customHeight="1" x14ac:dyDescent="0.35">
      <c r="A647" s="38"/>
      <c r="B647" s="38"/>
      <c r="C647" s="38"/>
      <c r="D647" s="38"/>
      <c r="E647" s="489"/>
      <c r="F647" s="489"/>
      <c r="G647" s="489"/>
      <c r="H647" s="489"/>
      <c r="I647" s="489"/>
      <c r="J647" s="489"/>
      <c r="K647" s="489"/>
      <c r="L647" s="38"/>
      <c r="M647" s="472"/>
      <c r="N647" s="472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15.75" customHeight="1" x14ac:dyDescent="0.35">
      <c r="A648" s="38"/>
      <c r="B648" s="38"/>
      <c r="C648" s="38"/>
      <c r="D648" s="38"/>
      <c r="E648" s="489"/>
      <c r="F648" s="489"/>
      <c r="G648" s="489"/>
      <c r="H648" s="489"/>
      <c r="I648" s="489"/>
      <c r="J648" s="489"/>
      <c r="K648" s="489"/>
      <c r="L648" s="38"/>
      <c r="M648" s="472"/>
      <c r="N648" s="472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15.75" customHeight="1" x14ac:dyDescent="0.35">
      <c r="A649" s="38"/>
      <c r="B649" s="38"/>
      <c r="C649" s="38"/>
      <c r="D649" s="38"/>
      <c r="E649" s="489"/>
      <c r="F649" s="489"/>
      <c r="G649" s="489"/>
      <c r="H649" s="489"/>
      <c r="I649" s="489"/>
      <c r="J649" s="489"/>
      <c r="K649" s="489"/>
      <c r="L649" s="38"/>
      <c r="M649" s="472"/>
      <c r="N649" s="472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15.75" customHeight="1" x14ac:dyDescent="0.35">
      <c r="A650" s="38"/>
      <c r="B650" s="38"/>
      <c r="C650" s="38"/>
      <c r="D650" s="38"/>
      <c r="E650" s="489"/>
      <c r="F650" s="489"/>
      <c r="G650" s="489"/>
      <c r="H650" s="489"/>
      <c r="I650" s="489"/>
      <c r="J650" s="489"/>
      <c r="K650" s="489"/>
      <c r="L650" s="38"/>
      <c r="M650" s="472"/>
      <c r="N650" s="472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15.75" customHeight="1" x14ac:dyDescent="0.35">
      <c r="A651" s="38"/>
      <c r="B651" s="38"/>
      <c r="C651" s="38"/>
      <c r="D651" s="38"/>
      <c r="E651" s="489"/>
      <c r="F651" s="489"/>
      <c r="G651" s="489"/>
      <c r="H651" s="489"/>
      <c r="I651" s="489"/>
      <c r="J651" s="489"/>
      <c r="K651" s="489"/>
      <c r="L651" s="38"/>
      <c r="M651" s="472"/>
      <c r="N651" s="472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15.75" customHeight="1" x14ac:dyDescent="0.35">
      <c r="A652" s="38"/>
      <c r="B652" s="38"/>
      <c r="C652" s="38"/>
      <c r="D652" s="38"/>
      <c r="E652" s="489"/>
      <c r="F652" s="489"/>
      <c r="G652" s="489"/>
      <c r="H652" s="489"/>
      <c r="I652" s="489"/>
      <c r="J652" s="489"/>
      <c r="K652" s="489"/>
      <c r="L652" s="38"/>
      <c r="M652" s="472"/>
      <c r="N652" s="472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15.75" customHeight="1" x14ac:dyDescent="0.35">
      <c r="A653" s="38"/>
      <c r="B653" s="38"/>
      <c r="C653" s="38"/>
      <c r="D653" s="38"/>
      <c r="E653" s="489"/>
      <c r="F653" s="489"/>
      <c r="G653" s="489"/>
      <c r="H653" s="489"/>
      <c r="I653" s="489"/>
      <c r="J653" s="489"/>
      <c r="K653" s="489"/>
      <c r="L653" s="38"/>
      <c r="M653" s="472"/>
      <c r="N653" s="472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15.75" customHeight="1" x14ac:dyDescent="0.35">
      <c r="A654" s="38"/>
      <c r="B654" s="38"/>
      <c r="C654" s="38"/>
      <c r="D654" s="38"/>
      <c r="E654" s="489"/>
      <c r="F654" s="489"/>
      <c r="G654" s="489"/>
      <c r="H654" s="489"/>
      <c r="I654" s="489"/>
      <c r="J654" s="489"/>
      <c r="K654" s="489"/>
      <c r="L654" s="38"/>
      <c r="M654" s="472"/>
      <c r="N654" s="472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15.75" customHeight="1" x14ac:dyDescent="0.35">
      <c r="A655" s="38"/>
      <c r="B655" s="38"/>
      <c r="C655" s="38"/>
      <c r="D655" s="38"/>
      <c r="E655" s="489"/>
      <c r="F655" s="489"/>
      <c r="G655" s="489"/>
      <c r="H655" s="489"/>
      <c r="I655" s="489"/>
      <c r="J655" s="489"/>
      <c r="K655" s="489"/>
      <c r="L655" s="38"/>
      <c r="M655" s="472"/>
      <c r="N655" s="472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15.75" customHeight="1" x14ac:dyDescent="0.35">
      <c r="A656" s="38"/>
      <c r="B656" s="38"/>
      <c r="C656" s="38"/>
      <c r="D656" s="38"/>
      <c r="E656" s="489"/>
      <c r="F656" s="489"/>
      <c r="G656" s="489"/>
      <c r="H656" s="489"/>
      <c r="I656" s="489"/>
      <c r="J656" s="489"/>
      <c r="K656" s="489"/>
      <c r="L656" s="38"/>
      <c r="M656" s="472"/>
      <c r="N656" s="472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15.75" customHeight="1" x14ac:dyDescent="0.35">
      <c r="A657" s="38"/>
      <c r="B657" s="38"/>
      <c r="C657" s="38"/>
      <c r="D657" s="38"/>
      <c r="E657" s="489"/>
      <c r="F657" s="489"/>
      <c r="G657" s="489"/>
      <c r="H657" s="489"/>
      <c r="I657" s="489"/>
      <c r="J657" s="489"/>
      <c r="K657" s="489"/>
      <c r="L657" s="38"/>
      <c r="M657" s="472"/>
      <c r="N657" s="472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15.75" customHeight="1" x14ac:dyDescent="0.35">
      <c r="A658" s="38"/>
      <c r="B658" s="38"/>
      <c r="C658" s="38"/>
      <c r="D658" s="38"/>
      <c r="E658" s="489"/>
      <c r="F658" s="489"/>
      <c r="G658" s="489"/>
      <c r="H658" s="489"/>
      <c r="I658" s="489"/>
      <c r="J658" s="489"/>
      <c r="K658" s="489"/>
      <c r="L658" s="38"/>
      <c r="M658" s="472"/>
      <c r="N658" s="472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15.75" customHeight="1" x14ac:dyDescent="0.35">
      <c r="A659" s="38"/>
      <c r="B659" s="38"/>
      <c r="C659" s="38"/>
      <c r="D659" s="38"/>
      <c r="E659" s="489"/>
      <c r="F659" s="489"/>
      <c r="G659" s="489"/>
      <c r="H659" s="489"/>
      <c r="I659" s="489"/>
      <c r="J659" s="489"/>
      <c r="K659" s="489"/>
      <c r="L659" s="38"/>
      <c r="M659" s="472"/>
      <c r="N659" s="472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15.75" customHeight="1" x14ac:dyDescent="0.35">
      <c r="A660" s="38"/>
      <c r="B660" s="38"/>
      <c r="C660" s="38"/>
      <c r="D660" s="38"/>
      <c r="E660" s="489"/>
      <c r="F660" s="489"/>
      <c r="G660" s="489"/>
      <c r="H660" s="489"/>
      <c r="I660" s="489"/>
      <c r="J660" s="489"/>
      <c r="K660" s="489"/>
      <c r="L660" s="38"/>
      <c r="M660" s="472"/>
      <c r="N660" s="472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15.75" customHeight="1" x14ac:dyDescent="0.35">
      <c r="A661" s="38"/>
      <c r="B661" s="38"/>
      <c r="C661" s="38"/>
      <c r="D661" s="38"/>
      <c r="E661" s="489"/>
      <c r="F661" s="489"/>
      <c r="G661" s="489"/>
      <c r="H661" s="489"/>
      <c r="I661" s="489"/>
      <c r="J661" s="489"/>
      <c r="K661" s="489"/>
      <c r="L661" s="38"/>
      <c r="M661" s="472"/>
      <c r="N661" s="472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15.75" customHeight="1" x14ac:dyDescent="0.35">
      <c r="A662" s="38"/>
      <c r="B662" s="38"/>
      <c r="C662" s="38"/>
      <c r="D662" s="38"/>
      <c r="E662" s="489"/>
      <c r="F662" s="489"/>
      <c r="G662" s="489"/>
      <c r="H662" s="489"/>
      <c r="I662" s="489"/>
      <c r="J662" s="489"/>
      <c r="K662" s="489"/>
      <c r="L662" s="38"/>
      <c r="M662" s="472"/>
      <c r="N662" s="472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15.75" customHeight="1" x14ac:dyDescent="0.35">
      <c r="A663" s="38"/>
      <c r="B663" s="38"/>
      <c r="C663" s="38"/>
      <c r="D663" s="38"/>
      <c r="E663" s="489"/>
      <c r="F663" s="489"/>
      <c r="G663" s="489"/>
      <c r="H663" s="489"/>
      <c r="I663" s="489"/>
      <c r="J663" s="489"/>
      <c r="K663" s="489"/>
      <c r="L663" s="38"/>
      <c r="M663" s="472"/>
      <c r="N663" s="472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15.75" customHeight="1" x14ac:dyDescent="0.35">
      <c r="A664" s="38"/>
      <c r="B664" s="38"/>
      <c r="C664" s="38"/>
      <c r="D664" s="38"/>
      <c r="E664" s="489"/>
      <c r="F664" s="489"/>
      <c r="G664" s="489"/>
      <c r="H664" s="489"/>
      <c r="I664" s="489"/>
      <c r="J664" s="489"/>
      <c r="K664" s="489"/>
      <c r="L664" s="38"/>
      <c r="M664" s="472"/>
      <c r="N664" s="472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15.75" customHeight="1" x14ac:dyDescent="0.35">
      <c r="A665" s="38"/>
      <c r="B665" s="38"/>
      <c r="C665" s="38"/>
      <c r="D665" s="38"/>
      <c r="E665" s="489"/>
      <c r="F665" s="489"/>
      <c r="G665" s="489"/>
      <c r="H665" s="489"/>
      <c r="I665" s="489"/>
      <c r="J665" s="489"/>
      <c r="K665" s="489"/>
      <c r="L665" s="38"/>
      <c r="M665" s="472"/>
      <c r="N665" s="472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15.75" customHeight="1" x14ac:dyDescent="0.35">
      <c r="A666" s="38"/>
      <c r="B666" s="38"/>
      <c r="C666" s="38"/>
      <c r="D666" s="38"/>
      <c r="E666" s="489"/>
      <c r="F666" s="489"/>
      <c r="G666" s="489"/>
      <c r="H666" s="489"/>
      <c r="I666" s="489"/>
      <c r="J666" s="489"/>
      <c r="K666" s="489"/>
      <c r="L666" s="38"/>
      <c r="M666" s="472"/>
      <c r="N666" s="472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15.75" customHeight="1" x14ac:dyDescent="0.35">
      <c r="A667" s="38"/>
      <c r="B667" s="38"/>
      <c r="C667" s="38"/>
      <c r="D667" s="38"/>
      <c r="E667" s="489"/>
      <c r="F667" s="489"/>
      <c r="G667" s="489"/>
      <c r="H667" s="489"/>
      <c r="I667" s="489"/>
      <c r="J667" s="489"/>
      <c r="K667" s="489"/>
      <c r="L667" s="38"/>
      <c r="M667" s="472"/>
      <c r="N667" s="472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15.75" customHeight="1" x14ac:dyDescent="0.35">
      <c r="A668" s="38"/>
      <c r="B668" s="38"/>
      <c r="C668" s="38"/>
      <c r="D668" s="38"/>
      <c r="E668" s="489"/>
      <c r="F668" s="489"/>
      <c r="G668" s="489"/>
      <c r="H668" s="489"/>
      <c r="I668" s="489"/>
      <c r="J668" s="489"/>
      <c r="K668" s="489"/>
      <c r="L668" s="38"/>
      <c r="M668" s="472"/>
      <c r="N668" s="472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15.75" customHeight="1" x14ac:dyDescent="0.35">
      <c r="A669" s="38"/>
      <c r="B669" s="38"/>
      <c r="C669" s="38"/>
      <c r="D669" s="38"/>
      <c r="E669" s="489"/>
      <c r="F669" s="489"/>
      <c r="G669" s="489"/>
      <c r="H669" s="489"/>
      <c r="I669" s="489"/>
      <c r="J669" s="489"/>
      <c r="K669" s="489"/>
      <c r="L669" s="38"/>
      <c r="M669" s="472"/>
      <c r="N669" s="472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15.75" customHeight="1" x14ac:dyDescent="0.35">
      <c r="A670" s="38"/>
      <c r="B670" s="38"/>
      <c r="C670" s="38"/>
      <c r="D670" s="38"/>
      <c r="E670" s="489"/>
      <c r="F670" s="489"/>
      <c r="G670" s="489"/>
      <c r="H670" s="489"/>
      <c r="I670" s="489"/>
      <c r="J670" s="489"/>
      <c r="K670" s="489"/>
      <c r="L670" s="38"/>
      <c r="M670" s="472"/>
      <c r="N670" s="472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15.75" customHeight="1" x14ac:dyDescent="0.35">
      <c r="A671" s="38"/>
      <c r="B671" s="38"/>
      <c r="C671" s="38"/>
      <c r="D671" s="38"/>
      <c r="E671" s="489"/>
      <c r="F671" s="489"/>
      <c r="G671" s="489"/>
      <c r="H671" s="489"/>
      <c r="I671" s="489"/>
      <c r="J671" s="489"/>
      <c r="K671" s="489"/>
      <c r="L671" s="38"/>
      <c r="M671" s="472"/>
      <c r="N671" s="472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15.75" customHeight="1" x14ac:dyDescent="0.35">
      <c r="A672" s="38"/>
      <c r="B672" s="38"/>
      <c r="C672" s="38"/>
      <c r="D672" s="38"/>
      <c r="E672" s="489"/>
      <c r="F672" s="489"/>
      <c r="G672" s="489"/>
      <c r="H672" s="489"/>
      <c r="I672" s="489"/>
      <c r="J672" s="489"/>
      <c r="K672" s="489"/>
      <c r="L672" s="38"/>
      <c r="M672" s="472"/>
      <c r="N672" s="472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15.75" customHeight="1" x14ac:dyDescent="0.35">
      <c r="A673" s="38"/>
      <c r="B673" s="38"/>
      <c r="C673" s="38"/>
      <c r="D673" s="38"/>
      <c r="E673" s="489"/>
      <c r="F673" s="489"/>
      <c r="G673" s="489"/>
      <c r="H673" s="489"/>
      <c r="I673" s="489"/>
      <c r="J673" s="489"/>
      <c r="K673" s="489"/>
      <c r="L673" s="38"/>
      <c r="M673" s="472"/>
      <c r="N673" s="472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15.75" customHeight="1" x14ac:dyDescent="0.35">
      <c r="A674" s="38"/>
      <c r="B674" s="38"/>
      <c r="C674" s="38"/>
      <c r="D674" s="38"/>
      <c r="E674" s="489"/>
      <c r="F674" s="489"/>
      <c r="G674" s="489"/>
      <c r="H674" s="489"/>
      <c r="I674" s="489"/>
      <c r="J674" s="489"/>
      <c r="K674" s="489"/>
      <c r="L674" s="38"/>
      <c r="M674" s="472"/>
      <c r="N674" s="472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15.75" customHeight="1" x14ac:dyDescent="0.35">
      <c r="A675" s="38"/>
      <c r="B675" s="38"/>
      <c r="C675" s="38"/>
      <c r="D675" s="38"/>
      <c r="E675" s="489"/>
      <c r="F675" s="489"/>
      <c r="G675" s="489"/>
      <c r="H675" s="489"/>
      <c r="I675" s="489"/>
      <c r="J675" s="489"/>
      <c r="K675" s="489"/>
      <c r="L675" s="38"/>
      <c r="M675" s="472"/>
      <c r="N675" s="472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15.75" customHeight="1" x14ac:dyDescent="0.35">
      <c r="A676" s="38"/>
      <c r="B676" s="38"/>
      <c r="C676" s="38"/>
      <c r="D676" s="38"/>
      <c r="E676" s="489"/>
      <c r="F676" s="489"/>
      <c r="G676" s="489"/>
      <c r="H676" s="489"/>
      <c r="I676" s="489"/>
      <c r="J676" s="489"/>
      <c r="K676" s="489"/>
      <c r="L676" s="38"/>
      <c r="M676" s="472"/>
      <c r="N676" s="472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15.75" customHeight="1" x14ac:dyDescent="0.35">
      <c r="A677" s="38"/>
      <c r="B677" s="38"/>
      <c r="C677" s="38"/>
      <c r="D677" s="38"/>
      <c r="E677" s="489"/>
      <c r="F677" s="489"/>
      <c r="G677" s="489"/>
      <c r="H677" s="489"/>
      <c r="I677" s="489"/>
      <c r="J677" s="489"/>
      <c r="K677" s="489"/>
      <c r="L677" s="38"/>
      <c r="M677" s="472"/>
      <c r="N677" s="472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15.75" customHeight="1" x14ac:dyDescent="0.35">
      <c r="A678" s="38"/>
      <c r="B678" s="38"/>
      <c r="C678" s="38"/>
      <c r="D678" s="38"/>
      <c r="E678" s="489"/>
      <c r="F678" s="489"/>
      <c r="G678" s="489"/>
      <c r="H678" s="489"/>
      <c r="I678" s="489"/>
      <c r="J678" s="489"/>
      <c r="K678" s="489"/>
      <c r="L678" s="38"/>
      <c r="M678" s="472"/>
      <c r="N678" s="472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15.75" customHeight="1" x14ac:dyDescent="0.35">
      <c r="A679" s="38"/>
      <c r="B679" s="38"/>
      <c r="C679" s="38"/>
      <c r="D679" s="38"/>
      <c r="E679" s="489"/>
      <c r="F679" s="489"/>
      <c r="G679" s="489"/>
      <c r="H679" s="489"/>
      <c r="I679" s="489"/>
      <c r="J679" s="489"/>
      <c r="K679" s="489"/>
      <c r="L679" s="38"/>
      <c r="M679" s="472"/>
      <c r="N679" s="472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15.75" customHeight="1" x14ac:dyDescent="0.35">
      <c r="A680" s="38"/>
      <c r="B680" s="38"/>
      <c r="C680" s="38"/>
      <c r="D680" s="38"/>
      <c r="E680" s="489"/>
      <c r="F680" s="489"/>
      <c r="G680" s="489"/>
      <c r="H680" s="489"/>
      <c r="I680" s="489"/>
      <c r="J680" s="489"/>
      <c r="K680" s="489"/>
      <c r="L680" s="38"/>
      <c r="M680" s="472"/>
      <c r="N680" s="472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15.75" customHeight="1" x14ac:dyDescent="0.35">
      <c r="A681" s="38"/>
      <c r="B681" s="38"/>
      <c r="C681" s="38"/>
      <c r="D681" s="38"/>
      <c r="E681" s="489"/>
      <c r="F681" s="489"/>
      <c r="G681" s="489"/>
      <c r="H681" s="489"/>
      <c r="I681" s="489"/>
      <c r="J681" s="489"/>
      <c r="K681" s="489"/>
      <c r="L681" s="38"/>
      <c r="M681" s="472"/>
      <c r="N681" s="472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15.75" customHeight="1" x14ac:dyDescent="0.35">
      <c r="A682" s="38"/>
      <c r="B682" s="38"/>
      <c r="C682" s="38"/>
      <c r="D682" s="38"/>
      <c r="E682" s="489"/>
      <c r="F682" s="489"/>
      <c r="G682" s="489"/>
      <c r="H682" s="489"/>
      <c r="I682" s="489"/>
      <c r="J682" s="489"/>
      <c r="K682" s="489"/>
      <c r="L682" s="38"/>
      <c r="M682" s="472"/>
      <c r="N682" s="472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15.75" customHeight="1" x14ac:dyDescent="0.35">
      <c r="A683" s="38"/>
      <c r="B683" s="38"/>
      <c r="C683" s="38"/>
      <c r="D683" s="38"/>
      <c r="E683" s="489"/>
      <c r="F683" s="489"/>
      <c r="G683" s="489"/>
      <c r="H683" s="489"/>
      <c r="I683" s="489"/>
      <c r="J683" s="489"/>
      <c r="K683" s="489"/>
      <c r="L683" s="38"/>
      <c r="M683" s="472"/>
      <c r="N683" s="472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15.75" customHeight="1" x14ac:dyDescent="0.35">
      <c r="A684" s="38"/>
      <c r="B684" s="38"/>
      <c r="C684" s="38"/>
      <c r="D684" s="38"/>
      <c r="E684" s="489"/>
      <c r="F684" s="489"/>
      <c r="G684" s="489"/>
      <c r="H684" s="489"/>
      <c r="I684" s="489"/>
      <c r="J684" s="489"/>
      <c r="K684" s="489"/>
      <c r="L684" s="38"/>
      <c r="M684" s="472"/>
      <c r="N684" s="472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15.75" customHeight="1" x14ac:dyDescent="0.35">
      <c r="A685" s="38"/>
      <c r="B685" s="38"/>
      <c r="C685" s="38"/>
      <c r="D685" s="38"/>
      <c r="E685" s="489"/>
      <c r="F685" s="489"/>
      <c r="G685" s="489"/>
      <c r="H685" s="489"/>
      <c r="I685" s="489"/>
      <c r="J685" s="489"/>
      <c r="K685" s="489"/>
      <c r="L685" s="38"/>
      <c r="M685" s="472"/>
      <c r="N685" s="472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15.75" customHeight="1" x14ac:dyDescent="0.35">
      <c r="A686" s="38"/>
      <c r="B686" s="38"/>
      <c r="C686" s="38"/>
      <c r="D686" s="38"/>
      <c r="E686" s="489"/>
      <c r="F686" s="489"/>
      <c r="G686" s="489"/>
      <c r="H686" s="489"/>
      <c r="I686" s="489"/>
      <c r="J686" s="489"/>
      <c r="K686" s="489"/>
      <c r="L686" s="38"/>
      <c r="M686" s="472"/>
      <c r="N686" s="472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15.75" customHeight="1" x14ac:dyDescent="0.35">
      <c r="A687" s="38"/>
      <c r="B687" s="38"/>
      <c r="C687" s="38"/>
      <c r="D687" s="38"/>
      <c r="E687" s="489"/>
      <c r="F687" s="489"/>
      <c r="G687" s="489"/>
      <c r="H687" s="489"/>
      <c r="I687" s="489"/>
      <c r="J687" s="489"/>
      <c r="K687" s="489"/>
      <c r="L687" s="38"/>
      <c r="M687" s="472"/>
      <c r="N687" s="472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15.75" customHeight="1" x14ac:dyDescent="0.35">
      <c r="A688" s="38"/>
      <c r="B688" s="38"/>
      <c r="C688" s="38"/>
      <c r="D688" s="38"/>
      <c r="E688" s="489"/>
      <c r="F688" s="489"/>
      <c r="G688" s="489"/>
      <c r="H688" s="489"/>
      <c r="I688" s="489"/>
      <c r="J688" s="489"/>
      <c r="K688" s="489"/>
      <c r="L688" s="38"/>
      <c r="M688" s="472"/>
      <c r="N688" s="472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15.75" customHeight="1" x14ac:dyDescent="0.35">
      <c r="A689" s="38"/>
      <c r="B689" s="38"/>
      <c r="C689" s="38"/>
      <c r="D689" s="38"/>
      <c r="E689" s="489"/>
      <c r="F689" s="489"/>
      <c r="G689" s="489"/>
      <c r="H689" s="489"/>
      <c r="I689" s="489"/>
      <c r="J689" s="489"/>
      <c r="K689" s="489"/>
      <c r="L689" s="38"/>
      <c r="M689" s="472"/>
      <c r="N689" s="472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15.75" customHeight="1" x14ac:dyDescent="0.35">
      <c r="A690" s="38"/>
      <c r="B690" s="38"/>
      <c r="C690" s="38"/>
      <c r="D690" s="38"/>
      <c r="E690" s="489"/>
      <c r="F690" s="489"/>
      <c r="G690" s="489"/>
      <c r="H690" s="489"/>
      <c r="I690" s="489"/>
      <c r="J690" s="489"/>
      <c r="K690" s="489"/>
      <c r="L690" s="38"/>
      <c r="M690" s="472"/>
      <c r="N690" s="472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15.75" customHeight="1" x14ac:dyDescent="0.35">
      <c r="A691" s="38"/>
      <c r="B691" s="38"/>
      <c r="C691" s="38"/>
      <c r="D691" s="38"/>
      <c r="E691" s="489"/>
      <c r="F691" s="489"/>
      <c r="G691" s="489"/>
      <c r="H691" s="489"/>
      <c r="I691" s="489"/>
      <c r="J691" s="489"/>
      <c r="K691" s="489"/>
      <c r="L691" s="38"/>
      <c r="M691" s="472"/>
      <c r="N691" s="472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15.75" customHeight="1" x14ac:dyDescent="0.35">
      <c r="A692" s="38"/>
      <c r="B692" s="38"/>
      <c r="C692" s="38"/>
      <c r="D692" s="38"/>
      <c r="E692" s="489"/>
      <c r="F692" s="489"/>
      <c r="G692" s="489"/>
      <c r="H692" s="489"/>
      <c r="I692" s="489"/>
      <c r="J692" s="489"/>
      <c r="K692" s="489"/>
      <c r="L692" s="38"/>
      <c r="M692" s="472"/>
      <c r="N692" s="472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15.75" customHeight="1" x14ac:dyDescent="0.35">
      <c r="A693" s="38"/>
      <c r="B693" s="38"/>
      <c r="C693" s="38"/>
      <c r="D693" s="38"/>
      <c r="E693" s="489"/>
      <c r="F693" s="489"/>
      <c r="G693" s="489"/>
      <c r="H693" s="489"/>
      <c r="I693" s="489"/>
      <c r="J693" s="489"/>
      <c r="K693" s="489"/>
      <c r="L693" s="38"/>
      <c r="M693" s="472"/>
      <c r="N693" s="472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15.75" customHeight="1" x14ac:dyDescent="0.35">
      <c r="A694" s="38"/>
      <c r="B694" s="38"/>
      <c r="C694" s="38"/>
      <c r="D694" s="38"/>
      <c r="E694" s="489"/>
      <c r="F694" s="489"/>
      <c r="G694" s="489"/>
      <c r="H694" s="489"/>
      <c r="I694" s="489"/>
      <c r="J694" s="489"/>
      <c r="K694" s="489"/>
      <c r="L694" s="38"/>
      <c r="M694" s="472"/>
      <c r="N694" s="472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15.75" customHeight="1" x14ac:dyDescent="0.35">
      <c r="A695" s="38"/>
      <c r="B695" s="38"/>
      <c r="C695" s="38"/>
      <c r="D695" s="38"/>
      <c r="E695" s="489"/>
      <c r="F695" s="489"/>
      <c r="G695" s="489"/>
      <c r="H695" s="489"/>
      <c r="I695" s="489"/>
      <c r="J695" s="489"/>
      <c r="K695" s="489"/>
      <c r="L695" s="38"/>
      <c r="M695" s="472"/>
      <c r="N695" s="472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15.75" customHeight="1" x14ac:dyDescent="0.35">
      <c r="A696" s="38"/>
      <c r="B696" s="38"/>
      <c r="C696" s="38"/>
      <c r="D696" s="38"/>
      <c r="E696" s="489"/>
      <c r="F696" s="489"/>
      <c r="G696" s="489"/>
      <c r="H696" s="489"/>
      <c r="I696" s="489"/>
      <c r="J696" s="489"/>
      <c r="K696" s="489"/>
      <c r="L696" s="38"/>
      <c r="M696" s="472"/>
      <c r="N696" s="472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15.75" customHeight="1" x14ac:dyDescent="0.35">
      <c r="A697" s="38"/>
      <c r="B697" s="38"/>
      <c r="C697" s="38"/>
      <c r="D697" s="38"/>
      <c r="E697" s="489"/>
      <c r="F697" s="489"/>
      <c r="G697" s="489"/>
      <c r="H697" s="489"/>
      <c r="I697" s="489"/>
      <c r="J697" s="489"/>
      <c r="K697" s="489"/>
      <c r="L697" s="38"/>
      <c r="M697" s="472"/>
      <c r="N697" s="472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15.75" customHeight="1" x14ac:dyDescent="0.35">
      <c r="A698" s="38"/>
      <c r="B698" s="38"/>
      <c r="C698" s="38"/>
      <c r="D698" s="38"/>
      <c r="E698" s="489"/>
      <c r="F698" s="489"/>
      <c r="G698" s="489"/>
      <c r="H698" s="489"/>
      <c r="I698" s="489"/>
      <c r="J698" s="489"/>
      <c r="K698" s="489"/>
      <c r="L698" s="38"/>
      <c r="M698" s="472"/>
      <c r="N698" s="472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15.75" customHeight="1" x14ac:dyDescent="0.35">
      <c r="A699" s="38"/>
      <c r="B699" s="38"/>
      <c r="C699" s="38"/>
      <c r="D699" s="38"/>
      <c r="E699" s="489"/>
      <c r="F699" s="489"/>
      <c r="G699" s="489"/>
      <c r="H699" s="489"/>
      <c r="I699" s="489"/>
      <c r="J699" s="489"/>
      <c r="K699" s="489"/>
      <c r="L699" s="38"/>
      <c r="M699" s="472"/>
      <c r="N699" s="472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15.75" customHeight="1" x14ac:dyDescent="0.35">
      <c r="A700" s="38"/>
      <c r="B700" s="38"/>
      <c r="C700" s="38"/>
      <c r="D700" s="38"/>
      <c r="E700" s="489"/>
      <c r="F700" s="489"/>
      <c r="G700" s="489"/>
      <c r="H700" s="489"/>
      <c r="I700" s="489"/>
      <c r="J700" s="489"/>
      <c r="K700" s="489"/>
      <c r="L700" s="38"/>
      <c r="M700" s="472"/>
      <c r="N700" s="472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15.75" customHeight="1" x14ac:dyDescent="0.35">
      <c r="A701" s="38"/>
      <c r="B701" s="38"/>
      <c r="C701" s="38"/>
      <c r="D701" s="38"/>
      <c r="E701" s="489"/>
      <c r="F701" s="489"/>
      <c r="G701" s="489"/>
      <c r="H701" s="489"/>
      <c r="I701" s="489"/>
      <c r="J701" s="489"/>
      <c r="K701" s="489"/>
      <c r="L701" s="38"/>
      <c r="M701" s="472"/>
      <c r="N701" s="472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15.75" customHeight="1" x14ac:dyDescent="0.35">
      <c r="A702" s="38"/>
      <c r="B702" s="38"/>
      <c r="C702" s="38"/>
      <c r="D702" s="38"/>
      <c r="E702" s="489"/>
      <c r="F702" s="489"/>
      <c r="G702" s="489"/>
      <c r="H702" s="489"/>
      <c r="I702" s="489"/>
      <c r="J702" s="489"/>
      <c r="K702" s="489"/>
      <c r="L702" s="38"/>
      <c r="M702" s="472"/>
      <c r="N702" s="472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15.75" customHeight="1" x14ac:dyDescent="0.35">
      <c r="A703" s="38"/>
      <c r="B703" s="38"/>
      <c r="C703" s="38"/>
      <c r="D703" s="38"/>
      <c r="E703" s="489"/>
      <c r="F703" s="489"/>
      <c r="G703" s="489"/>
      <c r="H703" s="489"/>
      <c r="I703" s="489"/>
      <c r="J703" s="489"/>
      <c r="K703" s="489"/>
      <c r="L703" s="38"/>
      <c r="M703" s="472"/>
      <c r="N703" s="472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15.75" customHeight="1" x14ac:dyDescent="0.35">
      <c r="A704" s="38"/>
      <c r="B704" s="38"/>
      <c r="C704" s="38"/>
      <c r="D704" s="38"/>
      <c r="E704" s="489"/>
      <c r="F704" s="489"/>
      <c r="G704" s="489"/>
      <c r="H704" s="489"/>
      <c r="I704" s="489"/>
      <c r="J704" s="489"/>
      <c r="K704" s="489"/>
      <c r="L704" s="38"/>
      <c r="M704" s="472"/>
      <c r="N704" s="472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15.75" customHeight="1" x14ac:dyDescent="0.35">
      <c r="A705" s="38"/>
      <c r="B705" s="38"/>
      <c r="C705" s="38"/>
      <c r="D705" s="38"/>
      <c r="E705" s="489"/>
      <c r="F705" s="489"/>
      <c r="G705" s="489"/>
      <c r="H705" s="489"/>
      <c r="I705" s="489"/>
      <c r="J705" s="489"/>
      <c r="K705" s="489"/>
      <c r="L705" s="38"/>
      <c r="M705" s="472"/>
      <c r="N705" s="472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15.75" customHeight="1" x14ac:dyDescent="0.35">
      <c r="A706" s="38"/>
      <c r="B706" s="38"/>
      <c r="C706" s="38"/>
      <c r="D706" s="38"/>
      <c r="E706" s="489"/>
      <c r="F706" s="489"/>
      <c r="G706" s="489"/>
      <c r="H706" s="489"/>
      <c r="I706" s="489"/>
      <c r="J706" s="489"/>
      <c r="K706" s="489"/>
      <c r="L706" s="38"/>
      <c r="M706" s="472"/>
      <c r="N706" s="472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15.75" customHeight="1" x14ac:dyDescent="0.35">
      <c r="A707" s="38"/>
      <c r="B707" s="38"/>
      <c r="C707" s="38"/>
      <c r="D707" s="38"/>
      <c r="E707" s="489"/>
      <c r="F707" s="489"/>
      <c r="G707" s="489"/>
      <c r="H707" s="489"/>
      <c r="I707" s="489"/>
      <c r="J707" s="489"/>
      <c r="K707" s="489"/>
      <c r="L707" s="38"/>
      <c r="M707" s="472"/>
      <c r="N707" s="472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15.75" customHeight="1" x14ac:dyDescent="0.35">
      <c r="A708" s="38"/>
      <c r="B708" s="38"/>
      <c r="C708" s="38"/>
      <c r="D708" s="38"/>
      <c r="E708" s="489"/>
      <c r="F708" s="489"/>
      <c r="G708" s="489"/>
      <c r="H708" s="489"/>
      <c r="I708" s="489"/>
      <c r="J708" s="489"/>
      <c r="K708" s="489"/>
      <c r="L708" s="38"/>
      <c r="M708" s="472"/>
      <c r="N708" s="472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15.75" customHeight="1" x14ac:dyDescent="0.35">
      <c r="A709" s="38"/>
      <c r="B709" s="38"/>
      <c r="C709" s="38"/>
      <c r="D709" s="38"/>
      <c r="E709" s="489"/>
      <c r="F709" s="489"/>
      <c r="G709" s="489"/>
      <c r="H709" s="489"/>
      <c r="I709" s="489"/>
      <c r="J709" s="489"/>
      <c r="K709" s="489"/>
      <c r="L709" s="38"/>
      <c r="M709" s="472"/>
      <c r="N709" s="472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15.75" customHeight="1" x14ac:dyDescent="0.35">
      <c r="A710" s="38"/>
      <c r="B710" s="38"/>
      <c r="C710" s="38"/>
      <c r="D710" s="38"/>
      <c r="E710" s="489"/>
      <c r="F710" s="489"/>
      <c r="G710" s="489"/>
      <c r="H710" s="489"/>
      <c r="I710" s="489"/>
      <c r="J710" s="489"/>
      <c r="K710" s="489"/>
      <c r="L710" s="38"/>
      <c r="M710" s="472"/>
      <c r="N710" s="472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15.75" customHeight="1" x14ac:dyDescent="0.35">
      <c r="A711" s="38"/>
      <c r="B711" s="38"/>
      <c r="C711" s="38"/>
      <c r="D711" s="38"/>
      <c r="E711" s="489"/>
      <c r="F711" s="489"/>
      <c r="G711" s="489"/>
      <c r="H711" s="489"/>
      <c r="I711" s="489"/>
      <c r="J711" s="489"/>
      <c r="K711" s="489"/>
      <c r="L711" s="38"/>
      <c r="M711" s="472"/>
      <c r="N711" s="472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15.75" customHeight="1" x14ac:dyDescent="0.35">
      <c r="A712" s="38"/>
      <c r="B712" s="38"/>
      <c r="C712" s="38"/>
      <c r="D712" s="38"/>
      <c r="E712" s="489"/>
      <c r="F712" s="489"/>
      <c r="G712" s="489"/>
      <c r="H712" s="489"/>
      <c r="I712" s="489"/>
      <c r="J712" s="489"/>
      <c r="K712" s="489"/>
      <c r="L712" s="38"/>
      <c r="M712" s="472"/>
      <c r="N712" s="472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15.75" customHeight="1" x14ac:dyDescent="0.35">
      <c r="A713" s="38"/>
      <c r="B713" s="38"/>
      <c r="C713" s="38"/>
      <c r="D713" s="38"/>
      <c r="E713" s="489"/>
      <c r="F713" s="489"/>
      <c r="G713" s="489"/>
      <c r="H713" s="489"/>
      <c r="I713" s="489"/>
      <c r="J713" s="489"/>
      <c r="K713" s="489"/>
      <c r="L713" s="38"/>
      <c r="M713" s="472"/>
      <c r="N713" s="472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15.75" customHeight="1" x14ac:dyDescent="0.35">
      <c r="A714" s="38"/>
      <c r="B714" s="38"/>
      <c r="C714" s="38"/>
      <c r="D714" s="38"/>
      <c r="E714" s="489"/>
      <c r="F714" s="489"/>
      <c r="G714" s="489"/>
      <c r="H714" s="489"/>
      <c r="I714" s="489"/>
      <c r="J714" s="489"/>
      <c r="K714" s="489"/>
      <c r="L714" s="38"/>
      <c r="M714" s="472"/>
      <c r="N714" s="472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15.75" customHeight="1" x14ac:dyDescent="0.35">
      <c r="A715" s="38"/>
      <c r="B715" s="38"/>
      <c r="C715" s="38"/>
      <c r="D715" s="38"/>
      <c r="E715" s="489"/>
      <c r="F715" s="489"/>
      <c r="G715" s="489"/>
      <c r="H715" s="489"/>
      <c r="I715" s="489"/>
      <c r="J715" s="489"/>
      <c r="K715" s="489"/>
      <c r="L715" s="38"/>
      <c r="M715" s="472"/>
      <c r="N715" s="472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15.75" customHeight="1" x14ac:dyDescent="0.35">
      <c r="A716" s="38"/>
      <c r="B716" s="38"/>
      <c r="C716" s="38"/>
      <c r="D716" s="38"/>
      <c r="E716" s="489"/>
      <c r="F716" s="489"/>
      <c r="G716" s="489"/>
      <c r="H716" s="489"/>
      <c r="I716" s="489"/>
      <c r="J716" s="489"/>
      <c r="K716" s="489"/>
      <c r="L716" s="38"/>
      <c r="M716" s="472"/>
      <c r="N716" s="472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15.75" customHeight="1" x14ac:dyDescent="0.35">
      <c r="A717" s="38"/>
      <c r="B717" s="38"/>
      <c r="C717" s="38"/>
      <c r="D717" s="38"/>
      <c r="E717" s="489"/>
      <c r="F717" s="489"/>
      <c r="G717" s="489"/>
      <c r="H717" s="489"/>
      <c r="I717" s="489"/>
      <c r="J717" s="489"/>
      <c r="K717" s="489"/>
      <c r="L717" s="38"/>
      <c r="M717" s="472"/>
      <c r="N717" s="472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15.75" customHeight="1" x14ac:dyDescent="0.35">
      <c r="A718" s="38"/>
      <c r="B718" s="38"/>
      <c r="C718" s="38"/>
      <c r="D718" s="38"/>
      <c r="E718" s="489"/>
      <c r="F718" s="489"/>
      <c r="G718" s="489"/>
      <c r="H718" s="489"/>
      <c r="I718" s="489"/>
      <c r="J718" s="489"/>
      <c r="K718" s="489"/>
      <c r="L718" s="38"/>
      <c r="M718" s="472"/>
      <c r="N718" s="472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15.75" customHeight="1" x14ac:dyDescent="0.35">
      <c r="A719" s="38"/>
      <c r="B719" s="38"/>
      <c r="C719" s="38"/>
      <c r="D719" s="38"/>
      <c r="E719" s="489"/>
      <c r="F719" s="489"/>
      <c r="G719" s="489"/>
      <c r="H719" s="489"/>
      <c r="I719" s="489"/>
      <c r="J719" s="489"/>
      <c r="K719" s="489"/>
      <c r="L719" s="38"/>
      <c r="M719" s="472"/>
      <c r="N719" s="472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15.75" customHeight="1" x14ac:dyDescent="0.35">
      <c r="A720" s="38"/>
      <c r="B720" s="38"/>
      <c r="C720" s="38"/>
      <c r="D720" s="38"/>
      <c r="E720" s="489"/>
      <c r="F720" s="489"/>
      <c r="G720" s="489"/>
      <c r="H720" s="489"/>
      <c r="I720" s="489"/>
      <c r="J720" s="489"/>
      <c r="K720" s="489"/>
      <c r="L720" s="38"/>
      <c r="M720" s="472"/>
      <c r="N720" s="472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15.75" customHeight="1" x14ac:dyDescent="0.35">
      <c r="A721" s="38"/>
      <c r="B721" s="38"/>
      <c r="C721" s="38"/>
      <c r="D721" s="38"/>
      <c r="E721" s="489"/>
      <c r="F721" s="489"/>
      <c r="G721" s="489"/>
      <c r="H721" s="489"/>
      <c r="I721" s="489"/>
      <c r="J721" s="489"/>
      <c r="K721" s="489"/>
      <c r="L721" s="38"/>
      <c r="M721" s="472"/>
      <c r="N721" s="472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15.75" customHeight="1" x14ac:dyDescent="0.35">
      <c r="A722" s="38"/>
      <c r="B722" s="38"/>
      <c r="C722" s="38"/>
      <c r="D722" s="38"/>
      <c r="E722" s="489"/>
      <c r="F722" s="489"/>
      <c r="G722" s="489"/>
      <c r="H722" s="489"/>
      <c r="I722" s="489"/>
      <c r="J722" s="489"/>
      <c r="K722" s="489"/>
      <c r="L722" s="38"/>
      <c r="M722" s="472"/>
      <c r="N722" s="472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15.75" customHeight="1" x14ac:dyDescent="0.35">
      <c r="A723" s="38"/>
      <c r="B723" s="38"/>
      <c r="C723" s="38"/>
      <c r="D723" s="38"/>
      <c r="E723" s="489"/>
      <c r="F723" s="489"/>
      <c r="G723" s="489"/>
      <c r="H723" s="489"/>
      <c r="I723" s="489"/>
      <c r="J723" s="489"/>
      <c r="K723" s="489"/>
      <c r="L723" s="38"/>
      <c r="M723" s="472"/>
      <c r="N723" s="472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15.75" customHeight="1" x14ac:dyDescent="0.35">
      <c r="A724" s="38"/>
      <c r="B724" s="38"/>
      <c r="C724" s="38"/>
      <c r="D724" s="38"/>
      <c r="E724" s="489"/>
      <c r="F724" s="489"/>
      <c r="G724" s="489"/>
      <c r="H724" s="489"/>
      <c r="I724" s="489"/>
      <c r="J724" s="489"/>
      <c r="K724" s="489"/>
      <c r="L724" s="38"/>
      <c r="M724" s="472"/>
      <c r="N724" s="472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15.75" customHeight="1" x14ac:dyDescent="0.35">
      <c r="A725" s="38"/>
      <c r="B725" s="38"/>
      <c r="C725" s="38"/>
      <c r="D725" s="38"/>
      <c r="E725" s="489"/>
      <c r="F725" s="489"/>
      <c r="G725" s="489"/>
      <c r="H725" s="489"/>
      <c r="I725" s="489"/>
      <c r="J725" s="489"/>
      <c r="K725" s="489"/>
      <c r="L725" s="38"/>
      <c r="M725" s="472"/>
      <c r="N725" s="472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15.75" customHeight="1" x14ac:dyDescent="0.35">
      <c r="A726" s="38"/>
      <c r="B726" s="38"/>
      <c r="C726" s="38"/>
      <c r="D726" s="38"/>
      <c r="E726" s="489"/>
      <c r="F726" s="489"/>
      <c r="G726" s="489"/>
      <c r="H726" s="489"/>
      <c r="I726" s="489"/>
      <c r="J726" s="489"/>
      <c r="K726" s="489"/>
      <c r="L726" s="38"/>
      <c r="M726" s="472"/>
      <c r="N726" s="472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15.75" customHeight="1" x14ac:dyDescent="0.35">
      <c r="A727" s="38"/>
      <c r="B727" s="38"/>
      <c r="C727" s="38"/>
      <c r="D727" s="38"/>
      <c r="E727" s="489"/>
      <c r="F727" s="489"/>
      <c r="G727" s="489"/>
      <c r="H727" s="489"/>
      <c r="I727" s="489"/>
      <c r="J727" s="489"/>
      <c r="K727" s="489"/>
      <c r="L727" s="38"/>
      <c r="M727" s="472"/>
      <c r="N727" s="472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15.75" customHeight="1" x14ac:dyDescent="0.35">
      <c r="A728" s="38"/>
      <c r="B728" s="38"/>
      <c r="C728" s="38"/>
      <c r="D728" s="38"/>
      <c r="E728" s="489"/>
      <c r="F728" s="489"/>
      <c r="G728" s="489"/>
      <c r="H728" s="489"/>
      <c r="I728" s="489"/>
      <c r="J728" s="489"/>
      <c r="K728" s="489"/>
      <c r="L728" s="38"/>
      <c r="M728" s="472"/>
      <c r="N728" s="472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15.75" customHeight="1" x14ac:dyDescent="0.35">
      <c r="A729" s="38"/>
      <c r="B729" s="38"/>
      <c r="C729" s="38"/>
      <c r="D729" s="38"/>
      <c r="E729" s="489"/>
      <c r="F729" s="489"/>
      <c r="G729" s="489"/>
      <c r="H729" s="489"/>
      <c r="I729" s="489"/>
      <c r="J729" s="489"/>
      <c r="K729" s="489"/>
      <c r="L729" s="38"/>
      <c r="M729" s="472"/>
      <c r="N729" s="472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15.75" customHeight="1" x14ac:dyDescent="0.35">
      <c r="A730" s="38"/>
      <c r="B730" s="38"/>
      <c r="C730" s="38"/>
      <c r="D730" s="38"/>
      <c r="E730" s="489"/>
      <c r="F730" s="489"/>
      <c r="G730" s="489"/>
      <c r="H730" s="489"/>
      <c r="I730" s="489"/>
      <c r="J730" s="489"/>
      <c r="K730" s="489"/>
      <c r="L730" s="38"/>
      <c r="M730" s="472"/>
      <c r="N730" s="472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15.75" customHeight="1" x14ac:dyDescent="0.35">
      <c r="A731" s="38"/>
      <c r="B731" s="38"/>
      <c r="C731" s="38"/>
      <c r="D731" s="38"/>
      <c r="E731" s="489"/>
      <c r="F731" s="489"/>
      <c r="G731" s="489"/>
      <c r="H731" s="489"/>
      <c r="I731" s="489"/>
      <c r="J731" s="489"/>
      <c r="K731" s="489"/>
      <c r="L731" s="38"/>
      <c r="M731" s="472"/>
      <c r="N731" s="472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15.75" customHeight="1" x14ac:dyDescent="0.35">
      <c r="A732" s="38"/>
      <c r="B732" s="38"/>
      <c r="C732" s="38"/>
      <c r="D732" s="38"/>
      <c r="E732" s="489"/>
      <c r="F732" s="489"/>
      <c r="G732" s="489"/>
      <c r="H732" s="489"/>
      <c r="I732" s="489"/>
      <c r="J732" s="489"/>
      <c r="K732" s="489"/>
      <c r="L732" s="38"/>
      <c r="M732" s="472"/>
      <c r="N732" s="472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15.75" customHeight="1" x14ac:dyDescent="0.35">
      <c r="A733" s="38"/>
      <c r="B733" s="38"/>
      <c r="C733" s="38"/>
      <c r="D733" s="38"/>
      <c r="E733" s="489"/>
      <c r="F733" s="489"/>
      <c r="G733" s="489"/>
      <c r="H733" s="489"/>
      <c r="I733" s="489"/>
      <c r="J733" s="489"/>
      <c r="K733" s="489"/>
      <c r="L733" s="38"/>
      <c r="M733" s="472"/>
      <c r="N733" s="472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15.75" customHeight="1" x14ac:dyDescent="0.35">
      <c r="A734" s="38"/>
      <c r="B734" s="38"/>
      <c r="C734" s="38"/>
      <c r="D734" s="38"/>
      <c r="E734" s="489"/>
      <c r="F734" s="489"/>
      <c r="G734" s="489"/>
      <c r="H734" s="489"/>
      <c r="I734" s="489"/>
      <c r="J734" s="489"/>
      <c r="K734" s="489"/>
      <c r="L734" s="38"/>
      <c r="M734" s="472"/>
      <c r="N734" s="472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15.75" customHeight="1" x14ac:dyDescent="0.35">
      <c r="A735" s="38"/>
      <c r="B735" s="38"/>
      <c r="C735" s="38"/>
      <c r="D735" s="38"/>
      <c r="E735" s="489"/>
      <c r="F735" s="489"/>
      <c r="G735" s="489"/>
      <c r="H735" s="489"/>
      <c r="I735" s="489"/>
      <c r="J735" s="489"/>
      <c r="K735" s="489"/>
      <c r="L735" s="38"/>
      <c r="M735" s="472"/>
      <c r="N735" s="472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15.75" customHeight="1" x14ac:dyDescent="0.35">
      <c r="A736" s="38"/>
      <c r="B736" s="38"/>
      <c r="C736" s="38"/>
      <c r="D736" s="38"/>
      <c r="E736" s="489"/>
      <c r="F736" s="489"/>
      <c r="G736" s="489"/>
      <c r="H736" s="489"/>
      <c r="I736" s="489"/>
      <c r="J736" s="489"/>
      <c r="K736" s="489"/>
      <c r="L736" s="38"/>
      <c r="M736" s="472"/>
      <c r="N736" s="472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15.75" customHeight="1" x14ac:dyDescent="0.35">
      <c r="A737" s="38"/>
      <c r="B737" s="38"/>
      <c r="C737" s="38"/>
      <c r="D737" s="38"/>
      <c r="E737" s="489"/>
      <c r="F737" s="489"/>
      <c r="G737" s="489"/>
      <c r="H737" s="489"/>
      <c r="I737" s="489"/>
      <c r="J737" s="489"/>
      <c r="K737" s="489"/>
      <c r="L737" s="38"/>
      <c r="M737" s="472"/>
      <c r="N737" s="472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15.75" customHeight="1" x14ac:dyDescent="0.35">
      <c r="A738" s="38"/>
      <c r="B738" s="38"/>
      <c r="C738" s="38"/>
      <c r="D738" s="38"/>
      <c r="E738" s="489"/>
      <c r="F738" s="489"/>
      <c r="G738" s="489"/>
      <c r="H738" s="489"/>
      <c r="I738" s="489"/>
      <c r="J738" s="489"/>
      <c r="K738" s="489"/>
      <c r="L738" s="38"/>
      <c r="M738" s="472"/>
      <c r="N738" s="472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15.75" customHeight="1" x14ac:dyDescent="0.35">
      <c r="A739" s="38"/>
      <c r="B739" s="38"/>
      <c r="C739" s="38"/>
      <c r="D739" s="38"/>
      <c r="E739" s="489"/>
      <c r="F739" s="489"/>
      <c r="G739" s="489"/>
      <c r="H739" s="489"/>
      <c r="I739" s="489"/>
      <c r="J739" s="489"/>
      <c r="K739" s="489"/>
      <c r="L739" s="38"/>
      <c r="M739" s="472"/>
      <c r="N739" s="472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15.75" customHeight="1" x14ac:dyDescent="0.35">
      <c r="A740" s="38"/>
      <c r="B740" s="38"/>
      <c r="C740" s="38"/>
      <c r="D740" s="38"/>
      <c r="E740" s="489"/>
      <c r="F740" s="489"/>
      <c r="G740" s="489"/>
      <c r="H740" s="489"/>
      <c r="I740" s="489"/>
      <c r="J740" s="489"/>
      <c r="K740" s="489"/>
      <c r="L740" s="38"/>
      <c r="M740" s="472"/>
      <c r="N740" s="472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15.75" customHeight="1" x14ac:dyDescent="0.35">
      <c r="A741" s="38"/>
      <c r="B741" s="38"/>
      <c r="C741" s="38"/>
      <c r="D741" s="38"/>
      <c r="E741" s="489"/>
      <c r="F741" s="489"/>
      <c r="G741" s="489"/>
      <c r="H741" s="489"/>
      <c r="I741" s="489"/>
      <c r="J741" s="489"/>
      <c r="K741" s="489"/>
      <c r="L741" s="38"/>
      <c r="M741" s="472"/>
      <c r="N741" s="472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15.75" customHeight="1" x14ac:dyDescent="0.35">
      <c r="A742" s="38"/>
      <c r="B742" s="38"/>
      <c r="C742" s="38"/>
      <c r="D742" s="38"/>
      <c r="E742" s="489"/>
      <c r="F742" s="489"/>
      <c r="G742" s="489"/>
      <c r="H742" s="489"/>
      <c r="I742" s="489"/>
      <c r="J742" s="489"/>
      <c r="K742" s="489"/>
      <c r="L742" s="38"/>
      <c r="M742" s="472"/>
      <c r="N742" s="472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15.75" customHeight="1" x14ac:dyDescent="0.35">
      <c r="A743" s="38"/>
      <c r="B743" s="38"/>
      <c r="C743" s="38"/>
      <c r="D743" s="38"/>
      <c r="E743" s="489"/>
      <c r="F743" s="489"/>
      <c r="G743" s="489"/>
      <c r="H743" s="489"/>
      <c r="I743" s="489"/>
      <c r="J743" s="489"/>
      <c r="K743" s="489"/>
      <c r="L743" s="38"/>
      <c r="M743" s="472"/>
      <c r="N743" s="472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15.75" customHeight="1" x14ac:dyDescent="0.35">
      <c r="A744" s="38"/>
      <c r="B744" s="38"/>
      <c r="C744" s="38"/>
      <c r="D744" s="38"/>
      <c r="E744" s="489"/>
      <c r="F744" s="489"/>
      <c r="G744" s="489"/>
      <c r="H744" s="489"/>
      <c r="I744" s="489"/>
      <c r="J744" s="489"/>
      <c r="K744" s="489"/>
      <c r="L744" s="38"/>
      <c r="M744" s="472"/>
      <c r="N744" s="472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15.75" customHeight="1" x14ac:dyDescent="0.35">
      <c r="A745" s="38"/>
      <c r="B745" s="38"/>
      <c r="C745" s="38"/>
      <c r="D745" s="38"/>
      <c r="E745" s="489"/>
      <c r="F745" s="489"/>
      <c r="G745" s="489"/>
      <c r="H745" s="489"/>
      <c r="I745" s="489"/>
      <c r="J745" s="489"/>
      <c r="K745" s="489"/>
      <c r="L745" s="38"/>
      <c r="M745" s="472"/>
      <c r="N745" s="472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15.75" customHeight="1" x14ac:dyDescent="0.35">
      <c r="A746" s="38"/>
      <c r="B746" s="38"/>
      <c r="C746" s="38"/>
      <c r="D746" s="38"/>
      <c r="E746" s="489"/>
      <c r="F746" s="489"/>
      <c r="G746" s="489"/>
      <c r="H746" s="489"/>
      <c r="I746" s="489"/>
      <c r="J746" s="489"/>
      <c r="K746" s="489"/>
      <c r="L746" s="38"/>
      <c r="M746" s="472"/>
      <c r="N746" s="472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15.75" customHeight="1" x14ac:dyDescent="0.35">
      <c r="A747" s="38"/>
      <c r="B747" s="38"/>
      <c r="C747" s="38"/>
      <c r="D747" s="38"/>
      <c r="E747" s="489"/>
      <c r="F747" s="489"/>
      <c r="G747" s="489"/>
      <c r="H747" s="489"/>
      <c r="I747" s="489"/>
      <c r="J747" s="489"/>
      <c r="K747" s="489"/>
      <c r="L747" s="38"/>
      <c r="M747" s="472"/>
      <c r="N747" s="472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15.75" customHeight="1" x14ac:dyDescent="0.35">
      <c r="A748" s="38"/>
      <c r="B748" s="38"/>
      <c r="C748" s="38"/>
      <c r="D748" s="38"/>
      <c r="E748" s="489"/>
      <c r="F748" s="489"/>
      <c r="G748" s="489"/>
      <c r="H748" s="489"/>
      <c r="I748" s="489"/>
      <c r="J748" s="489"/>
      <c r="K748" s="489"/>
      <c r="L748" s="38"/>
      <c r="M748" s="472"/>
      <c r="N748" s="472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15.75" customHeight="1" x14ac:dyDescent="0.35">
      <c r="A749" s="38"/>
      <c r="B749" s="38"/>
      <c r="C749" s="38"/>
      <c r="D749" s="38"/>
      <c r="E749" s="489"/>
      <c r="F749" s="489"/>
      <c r="G749" s="489"/>
      <c r="H749" s="489"/>
      <c r="I749" s="489"/>
      <c r="J749" s="489"/>
      <c r="K749" s="489"/>
      <c r="L749" s="38"/>
      <c r="M749" s="472"/>
      <c r="N749" s="472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15.75" customHeight="1" x14ac:dyDescent="0.35">
      <c r="A750" s="38"/>
      <c r="B750" s="38"/>
      <c r="C750" s="38"/>
      <c r="D750" s="38"/>
      <c r="E750" s="489"/>
      <c r="F750" s="489"/>
      <c r="G750" s="489"/>
      <c r="H750" s="489"/>
      <c r="I750" s="489"/>
      <c r="J750" s="489"/>
      <c r="K750" s="489"/>
      <c r="L750" s="38"/>
      <c r="M750" s="472"/>
      <c r="N750" s="472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15.75" customHeight="1" x14ac:dyDescent="0.35">
      <c r="A751" s="38"/>
      <c r="B751" s="38"/>
      <c r="C751" s="38"/>
      <c r="D751" s="38"/>
      <c r="E751" s="489"/>
      <c r="F751" s="489"/>
      <c r="G751" s="489"/>
      <c r="H751" s="489"/>
      <c r="I751" s="489"/>
      <c r="J751" s="489"/>
      <c r="K751" s="489"/>
      <c r="L751" s="38"/>
      <c r="M751" s="472"/>
      <c r="N751" s="472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15.75" customHeight="1" x14ac:dyDescent="0.35">
      <c r="A752" s="38"/>
      <c r="B752" s="38"/>
      <c r="C752" s="38"/>
      <c r="D752" s="38"/>
      <c r="E752" s="489"/>
      <c r="F752" s="489"/>
      <c r="G752" s="489"/>
      <c r="H752" s="489"/>
      <c r="I752" s="489"/>
      <c r="J752" s="489"/>
      <c r="K752" s="489"/>
      <c r="L752" s="38"/>
      <c r="M752" s="472"/>
      <c r="N752" s="472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15.75" customHeight="1" x14ac:dyDescent="0.35">
      <c r="A753" s="38"/>
      <c r="B753" s="38"/>
      <c r="C753" s="38"/>
      <c r="D753" s="38"/>
      <c r="E753" s="489"/>
      <c r="F753" s="489"/>
      <c r="G753" s="489"/>
      <c r="H753" s="489"/>
      <c r="I753" s="489"/>
      <c r="J753" s="489"/>
      <c r="K753" s="489"/>
      <c r="L753" s="38"/>
      <c r="M753" s="472"/>
      <c r="N753" s="472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15.75" customHeight="1" x14ac:dyDescent="0.35">
      <c r="A754" s="38"/>
      <c r="B754" s="38"/>
      <c r="C754" s="38"/>
      <c r="D754" s="38"/>
      <c r="E754" s="489"/>
      <c r="F754" s="489"/>
      <c r="G754" s="489"/>
      <c r="H754" s="489"/>
      <c r="I754" s="489"/>
      <c r="J754" s="489"/>
      <c r="K754" s="489"/>
      <c r="L754" s="38"/>
      <c r="M754" s="472"/>
      <c r="N754" s="472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15.75" customHeight="1" x14ac:dyDescent="0.35">
      <c r="A755" s="38"/>
      <c r="B755" s="38"/>
      <c r="C755" s="38"/>
      <c r="D755" s="38"/>
      <c r="E755" s="489"/>
      <c r="F755" s="489"/>
      <c r="G755" s="489"/>
      <c r="H755" s="489"/>
      <c r="I755" s="489"/>
      <c r="J755" s="489"/>
      <c r="K755" s="489"/>
      <c r="L755" s="38"/>
      <c r="M755" s="472"/>
      <c r="N755" s="472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15.75" customHeight="1" x14ac:dyDescent="0.35">
      <c r="A756" s="38"/>
      <c r="B756" s="38"/>
      <c r="C756" s="38"/>
      <c r="D756" s="38"/>
      <c r="E756" s="489"/>
      <c r="F756" s="489"/>
      <c r="G756" s="489"/>
      <c r="H756" s="489"/>
      <c r="I756" s="489"/>
      <c r="J756" s="489"/>
      <c r="K756" s="489"/>
      <c r="L756" s="38"/>
      <c r="M756" s="472"/>
      <c r="N756" s="472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15.75" customHeight="1" x14ac:dyDescent="0.35">
      <c r="A757" s="38"/>
      <c r="B757" s="38"/>
      <c r="C757" s="38"/>
      <c r="D757" s="38"/>
      <c r="E757" s="489"/>
      <c r="F757" s="489"/>
      <c r="G757" s="489"/>
      <c r="H757" s="489"/>
      <c r="I757" s="489"/>
      <c r="J757" s="489"/>
      <c r="K757" s="489"/>
      <c r="L757" s="38"/>
      <c r="M757" s="472"/>
      <c r="N757" s="472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15.75" customHeight="1" x14ac:dyDescent="0.35">
      <c r="A758" s="38"/>
      <c r="B758" s="38"/>
      <c r="C758" s="38"/>
      <c r="D758" s="38"/>
      <c r="E758" s="489"/>
      <c r="F758" s="489"/>
      <c r="G758" s="489"/>
      <c r="H758" s="489"/>
      <c r="I758" s="489"/>
      <c r="J758" s="489"/>
      <c r="K758" s="489"/>
      <c r="L758" s="38"/>
      <c r="M758" s="472"/>
      <c r="N758" s="472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15.75" customHeight="1" x14ac:dyDescent="0.35">
      <c r="A759" s="38"/>
      <c r="B759" s="38"/>
      <c r="C759" s="38"/>
      <c r="D759" s="38"/>
      <c r="E759" s="489"/>
      <c r="F759" s="489"/>
      <c r="G759" s="489"/>
      <c r="H759" s="489"/>
      <c r="I759" s="489"/>
      <c r="J759" s="489"/>
      <c r="K759" s="489"/>
      <c r="L759" s="38"/>
      <c r="M759" s="472"/>
      <c r="N759" s="472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15.75" customHeight="1" x14ac:dyDescent="0.35">
      <c r="A760" s="38"/>
      <c r="B760" s="38"/>
      <c r="C760" s="38"/>
      <c r="D760" s="38"/>
      <c r="E760" s="489"/>
      <c r="F760" s="489"/>
      <c r="G760" s="489"/>
      <c r="H760" s="489"/>
      <c r="I760" s="489"/>
      <c r="J760" s="489"/>
      <c r="K760" s="489"/>
      <c r="L760" s="38"/>
      <c r="M760" s="472"/>
      <c r="N760" s="472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15.75" customHeight="1" x14ac:dyDescent="0.35">
      <c r="A761" s="38"/>
      <c r="B761" s="38"/>
      <c r="C761" s="38"/>
      <c r="D761" s="38"/>
      <c r="E761" s="489"/>
      <c r="F761" s="489"/>
      <c r="G761" s="489"/>
      <c r="H761" s="489"/>
      <c r="I761" s="489"/>
      <c r="J761" s="489"/>
      <c r="K761" s="489"/>
      <c r="L761" s="38"/>
      <c r="M761" s="472"/>
      <c r="N761" s="472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15.75" customHeight="1" x14ac:dyDescent="0.35">
      <c r="A762" s="38"/>
      <c r="B762" s="38"/>
      <c r="C762" s="38"/>
      <c r="D762" s="38"/>
      <c r="E762" s="489"/>
      <c r="F762" s="489"/>
      <c r="G762" s="489"/>
      <c r="H762" s="489"/>
      <c r="I762" s="489"/>
      <c r="J762" s="489"/>
      <c r="K762" s="489"/>
      <c r="L762" s="38"/>
      <c r="M762" s="472"/>
      <c r="N762" s="472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15.75" customHeight="1" x14ac:dyDescent="0.35">
      <c r="A763" s="38"/>
      <c r="B763" s="38"/>
      <c r="C763" s="38"/>
      <c r="D763" s="38"/>
      <c r="E763" s="489"/>
      <c r="F763" s="489"/>
      <c r="G763" s="489"/>
      <c r="H763" s="489"/>
      <c r="I763" s="489"/>
      <c r="J763" s="489"/>
      <c r="K763" s="489"/>
      <c r="L763" s="38"/>
      <c r="M763" s="472"/>
      <c r="N763" s="472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15.75" customHeight="1" x14ac:dyDescent="0.35">
      <c r="A764" s="38"/>
      <c r="B764" s="38"/>
      <c r="C764" s="38"/>
      <c r="D764" s="38"/>
      <c r="E764" s="489"/>
      <c r="F764" s="489"/>
      <c r="G764" s="489"/>
      <c r="H764" s="489"/>
      <c r="I764" s="489"/>
      <c r="J764" s="489"/>
      <c r="K764" s="489"/>
      <c r="L764" s="38"/>
      <c r="M764" s="472"/>
      <c r="N764" s="472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15.75" customHeight="1" x14ac:dyDescent="0.35">
      <c r="A765" s="38"/>
      <c r="B765" s="38"/>
      <c r="C765" s="38"/>
      <c r="D765" s="38"/>
      <c r="E765" s="489"/>
      <c r="F765" s="489"/>
      <c r="G765" s="489"/>
      <c r="H765" s="489"/>
      <c r="I765" s="489"/>
      <c r="J765" s="489"/>
      <c r="K765" s="489"/>
      <c r="L765" s="38"/>
      <c r="M765" s="472"/>
      <c r="N765" s="472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15.75" customHeight="1" x14ac:dyDescent="0.35">
      <c r="A766" s="38"/>
      <c r="B766" s="38"/>
      <c r="C766" s="38"/>
      <c r="D766" s="38"/>
      <c r="E766" s="489"/>
      <c r="F766" s="489"/>
      <c r="G766" s="489"/>
      <c r="H766" s="489"/>
      <c r="I766" s="489"/>
      <c r="J766" s="489"/>
      <c r="K766" s="489"/>
      <c r="L766" s="38"/>
      <c r="M766" s="472"/>
      <c r="N766" s="472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15.75" customHeight="1" x14ac:dyDescent="0.35">
      <c r="A767" s="38"/>
      <c r="B767" s="38"/>
      <c r="C767" s="38"/>
      <c r="D767" s="38"/>
      <c r="E767" s="489"/>
      <c r="F767" s="489"/>
      <c r="G767" s="489"/>
      <c r="H767" s="489"/>
      <c r="I767" s="489"/>
      <c r="J767" s="489"/>
      <c r="K767" s="489"/>
      <c r="L767" s="38"/>
      <c r="M767" s="472"/>
      <c r="N767" s="472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15.75" customHeight="1" x14ac:dyDescent="0.35">
      <c r="A768" s="38"/>
      <c r="B768" s="38"/>
      <c r="C768" s="38"/>
      <c r="D768" s="38"/>
      <c r="E768" s="489"/>
      <c r="F768" s="489"/>
      <c r="G768" s="489"/>
      <c r="H768" s="489"/>
      <c r="I768" s="489"/>
      <c r="J768" s="489"/>
      <c r="K768" s="489"/>
      <c r="L768" s="38"/>
      <c r="M768" s="472"/>
      <c r="N768" s="472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15.75" customHeight="1" x14ac:dyDescent="0.35">
      <c r="A769" s="38"/>
      <c r="B769" s="38"/>
      <c r="C769" s="38"/>
      <c r="D769" s="38"/>
      <c r="E769" s="489"/>
      <c r="F769" s="489"/>
      <c r="G769" s="489"/>
      <c r="H769" s="489"/>
      <c r="I769" s="489"/>
      <c r="J769" s="489"/>
      <c r="K769" s="489"/>
      <c r="L769" s="38"/>
      <c r="M769" s="472"/>
      <c r="N769" s="472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15.75" customHeight="1" x14ac:dyDescent="0.35">
      <c r="A770" s="38"/>
      <c r="B770" s="38"/>
      <c r="C770" s="38"/>
      <c r="D770" s="38"/>
      <c r="E770" s="489"/>
      <c r="F770" s="489"/>
      <c r="G770" s="489"/>
      <c r="H770" s="489"/>
      <c r="I770" s="489"/>
      <c r="J770" s="489"/>
      <c r="K770" s="489"/>
      <c r="L770" s="38"/>
      <c r="M770" s="472"/>
      <c r="N770" s="472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15.75" customHeight="1" x14ac:dyDescent="0.35">
      <c r="A771" s="38"/>
      <c r="B771" s="38"/>
      <c r="C771" s="38"/>
      <c r="D771" s="38"/>
      <c r="E771" s="489"/>
      <c r="F771" s="489"/>
      <c r="G771" s="489"/>
      <c r="H771" s="489"/>
      <c r="I771" s="489"/>
      <c r="J771" s="489"/>
      <c r="K771" s="489"/>
      <c r="L771" s="38"/>
      <c r="M771" s="472"/>
      <c r="N771" s="472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15.75" customHeight="1" x14ac:dyDescent="0.35">
      <c r="A772" s="38"/>
      <c r="B772" s="38"/>
      <c r="C772" s="38"/>
      <c r="D772" s="38"/>
      <c r="E772" s="489"/>
      <c r="F772" s="489"/>
      <c r="G772" s="489"/>
      <c r="H772" s="489"/>
      <c r="I772" s="489"/>
      <c r="J772" s="489"/>
      <c r="K772" s="489"/>
      <c r="L772" s="38"/>
      <c r="M772" s="472"/>
      <c r="N772" s="472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15.75" customHeight="1" x14ac:dyDescent="0.35">
      <c r="A773" s="38"/>
      <c r="B773" s="38"/>
      <c r="C773" s="38"/>
      <c r="D773" s="38"/>
      <c r="E773" s="489"/>
      <c r="F773" s="489"/>
      <c r="G773" s="489"/>
      <c r="H773" s="489"/>
      <c r="I773" s="489"/>
      <c r="J773" s="489"/>
      <c r="K773" s="489"/>
      <c r="L773" s="38"/>
      <c r="M773" s="472"/>
      <c r="N773" s="472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15.75" customHeight="1" x14ac:dyDescent="0.35">
      <c r="A774" s="38"/>
      <c r="B774" s="38"/>
      <c r="C774" s="38"/>
      <c r="D774" s="38"/>
      <c r="E774" s="489"/>
      <c r="F774" s="489"/>
      <c r="G774" s="489"/>
      <c r="H774" s="489"/>
      <c r="I774" s="489"/>
      <c r="J774" s="489"/>
      <c r="K774" s="489"/>
      <c r="L774" s="38"/>
      <c r="M774" s="472"/>
      <c r="N774" s="472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15.75" customHeight="1" x14ac:dyDescent="0.35">
      <c r="A775" s="38"/>
      <c r="B775" s="38"/>
      <c r="C775" s="38"/>
      <c r="D775" s="38"/>
      <c r="E775" s="489"/>
      <c r="F775" s="489"/>
      <c r="G775" s="489"/>
      <c r="H775" s="489"/>
      <c r="I775" s="489"/>
      <c r="J775" s="489"/>
      <c r="K775" s="489"/>
      <c r="L775" s="38"/>
      <c r="M775" s="472"/>
      <c r="N775" s="472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15.75" customHeight="1" x14ac:dyDescent="0.35">
      <c r="A776" s="38"/>
      <c r="B776" s="38"/>
      <c r="C776" s="38"/>
      <c r="D776" s="38"/>
      <c r="E776" s="489"/>
      <c r="F776" s="489"/>
      <c r="G776" s="489"/>
      <c r="H776" s="489"/>
      <c r="I776" s="489"/>
      <c r="J776" s="489"/>
      <c r="K776" s="489"/>
      <c r="L776" s="38"/>
      <c r="M776" s="472"/>
      <c r="N776" s="472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15.75" customHeight="1" x14ac:dyDescent="0.35">
      <c r="A777" s="38"/>
      <c r="B777" s="38"/>
      <c r="C777" s="38"/>
      <c r="D777" s="38"/>
      <c r="E777" s="489"/>
      <c r="F777" s="489"/>
      <c r="G777" s="489"/>
      <c r="H777" s="489"/>
      <c r="I777" s="489"/>
      <c r="J777" s="489"/>
      <c r="K777" s="489"/>
      <c r="L777" s="38"/>
      <c r="M777" s="472"/>
      <c r="N777" s="472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15.75" customHeight="1" x14ac:dyDescent="0.35">
      <c r="A778" s="38"/>
      <c r="B778" s="38"/>
      <c r="C778" s="38"/>
      <c r="D778" s="38"/>
      <c r="E778" s="489"/>
      <c r="F778" s="489"/>
      <c r="G778" s="489"/>
      <c r="H778" s="489"/>
      <c r="I778" s="489"/>
      <c r="J778" s="489"/>
      <c r="K778" s="489"/>
      <c r="L778" s="38"/>
      <c r="M778" s="472"/>
      <c r="N778" s="472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15.75" customHeight="1" x14ac:dyDescent="0.35">
      <c r="A779" s="38"/>
      <c r="B779" s="38"/>
      <c r="C779" s="38"/>
      <c r="D779" s="38"/>
      <c r="E779" s="489"/>
      <c r="F779" s="489"/>
      <c r="G779" s="489"/>
      <c r="H779" s="489"/>
      <c r="I779" s="489"/>
      <c r="J779" s="489"/>
      <c r="K779" s="489"/>
      <c r="L779" s="38"/>
      <c r="M779" s="472"/>
      <c r="N779" s="472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15.75" customHeight="1" x14ac:dyDescent="0.35">
      <c r="A780" s="38"/>
      <c r="B780" s="38"/>
      <c r="C780" s="38"/>
      <c r="D780" s="38"/>
      <c r="E780" s="489"/>
      <c r="F780" s="489"/>
      <c r="G780" s="489"/>
      <c r="H780" s="489"/>
      <c r="I780" s="489"/>
      <c r="J780" s="489"/>
      <c r="K780" s="489"/>
      <c r="L780" s="38"/>
      <c r="M780" s="472"/>
      <c r="N780" s="472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15.75" customHeight="1" x14ac:dyDescent="0.35">
      <c r="A781" s="38"/>
      <c r="B781" s="38"/>
      <c r="C781" s="38"/>
      <c r="D781" s="38"/>
      <c r="E781" s="489"/>
      <c r="F781" s="489"/>
      <c r="G781" s="489"/>
      <c r="H781" s="489"/>
      <c r="I781" s="489"/>
      <c r="J781" s="489"/>
      <c r="K781" s="489"/>
      <c r="L781" s="38"/>
      <c r="M781" s="472"/>
      <c r="N781" s="472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15.75" customHeight="1" x14ac:dyDescent="0.35">
      <c r="A782" s="38"/>
      <c r="B782" s="38"/>
      <c r="C782" s="38"/>
      <c r="D782" s="38"/>
      <c r="E782" s="489"/>
      <c r="F782" s="489"/>
      <c r="G782" s="489"/>
      <c r="H782" s="489"/>
      <c r="I782" s="489"/>
      <c r="J782" s="489"/>
      <c r="K782" s="489"/>
      <c r="L782" s="38"/>
      <c r="M782" s="472"/>
      <c r="N782" s="472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15.75" customHeight="1" x14ac:dyDescent="0.35">
      <c r="A783" s="38"/>
      <c r="B783" s="38"/>
      <c r="C783" s="38"/>
      <c r="D783" s="38"/>
      <c r="E783" s="489"/>
      <c r="F783" s="489"/>
      <c r="G783" s="489"/>
      <c r="H783" s="489"/>
      <c r="I783" s="489"/>
      <c r="J783" s="489"/>
      <c r="K783" s="489"/>
      <c r="L783" s="38"/>
      <c r="M783" s="472"/>
      <c r="N783" s="472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15.75" customHeight="1" x14ac:dyDescent="0.35">
      <c r="A784" s="38"/>
      <c r="B784" s="38"/>
      <c r="C784" s="38"/>
      <c r="D784" s="38"/>
      <c r="E784" s="489"/>
      <c r="F784" s="489"/>
      <c r="G784" s="489"/>
      <c r="H784" s="489"/>
      <c r="I784" s="489"/>
      <c r="J784" s="489"/>
      <c r="K784" s="489"/>
      <c r="L784" s="38"/>
      <c r="M784" s="472"/>
      <c r="N784" s="472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15.75" customHeight="1" x14ac:dyDescent="0.35">
      <c r="A785" s="38"/>
      <c r="B785" s="38"/>
      <c r="C785" s="38"/>
      <c r="D785" s="38"/>
      <c r="E785" s="489"/>
      <c r="F785" s="489"/>
      <c r="G785" s="489"/>
      <c r="H785" s="489"/>
      <c r="I785" s="489"/>
      <c r="J785" s="489"/>
      <c r="K785" s="489"/>
      <c r="L785" s="38"/>
      <c r="M785" s="472"/>
      <c r="N785" s="472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15.75" customHeight="1" x14ac:dyDescent="0.35">
      <c r="A786" s="38"/>
      <c r="B786" s="38"/>
      <c r="C786" s="38"/>
      <c r="D786" s="38"/>
      <c r="E786" s="489"/>
      <c r="F786" s="489"/>
      <c r="G786" s="489"/>
      <c r="H786" s="489"/>
      <c r="I786" s="489"/>
      <c r="J786" s="489"/>
      <c r="K786" s="489"/>
      <c r="L786" s="38"/>
      <c r="M786" s="472"/>
      <c r="N786" s="472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15.75" customHeight="1" x14ac:dyDescent="0.35">
      <c r="A787" s="38"/>
      <c r="B787" s="38"/>
      <c r="C787" s="38"/>
      <c r="D787" s="38"/>
      <c r="E787" s="489"/>
      <c r="F787" s="489"/>
      <c r="G787" s="489"/>
      <c r="H787" s="489"/>
      <c r="I787" s="489"/>
      <c r="J787" s="489"/>
      <c r="K787" s="489"/>
      <c r="L787" s="38"/>
      <c r="M787" s="472"/>
      <c r="N787" s="472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15.75" customHeight="1" x14ac:dyDescent="0.35">
      <c r="A788" s="38"/>
      <c r="B788" s="38"/>
      <c r="C788" s="38"/>
      <c r="D788" s="38"/>
      <c r="E788" s="489"/>
      <c r="F788" s="489"/>
      <c r="G788" s="489"/>
      <c r="H788" s="489"/>
      <c r="I788" s="489"/>
      <c r="J788" s="489"/>
      <c r="K788" s="489"/>
      <c r="L788" s="38"/>
      <c r="M788" s="472"/>
      <c r="N788" s="472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15.75" customHeight="1" x14ac:dyDescent="0.35">
      <c r="A789" s="38"/>
      <c r="B789" s="38"/>
      <c r="C789" s="38"/>
      <c r="D789" s="38"/>
      <c r="E789" s="489"/>
      <c r="F789" s="489"/>
      <c r="G789" s="489"/>
      <c r="H789" s="489"/>
      <c r="I789" s="489"/>
      <c r="J789" s="489"/>
      <c r="K789" s="489"/>
      <c r="L789" s="38"/>
      <c r="M789" s="472"/>
      <c r="N789" s="472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15.75" customHeight="1" x14ac:dyDescent="0.35">
      <c r="A790" s="38"/>
      <c r="B790" s="38"/>
      <c r="C790" s="38"/>
      <c r="D790" s="38"/>
      <c r="E790" s="489"/>
      <c r="F790" s="489"/>
      <c r="G790" s="489"/>
      <c r="H790" s="489"/>
      <c r="I790" s="489"/>
      <c r="J790" s="489"/>
      <c r="K790" s="489"/>
      <c r="L790" s="38"/>
      <c r="M790" s="472"/>
      <c r="N790" s="472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15.75" customHeight="1" x14ac:dyDescent="0.35">
      <c r="A791" s="38"/>
      <c r="B791" s="38"/>
      <c r="C791" s="38"/>
      <c r="D791" s="38"/>
      <c r="E791" s="489"/>
      <c r="F791" s="489"/>
      <c r="G791" s="489"/>
      <c r="H791" s="489"/>
      <c r="I791" s="489"/>
      <c r="J791" s="489"/>
      <c r="K791" s="489"/>
      <c r="L791" s="38"/>
      <c r="M791" s="472"/>
      <c r="N791" s="472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15.75" customHeight="1" x14ac:dyDescent="0.35">
      <c r="A792" s="38"/>
      <c r="B792" s="38"/>
      <c r="C792" s="38"/>
      <c r="D792" s="38"/>
      <c r="E792" s="489"/>
      <c r="F792" s="489"/>
      <c r="G792" s="489"/>
      <c r="H792" s="489"/>
      <c r="I792" s="489"/>
      <c r="J792" s="489"/>
      <c r="K792" s="489"/>
      <c r="L792" s="38"/>
      <c r="M792" s="472"/>
      <c r="N792" s="472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15.75" customHeight="1" x14ac:dyDescent="0.35">
      <c r="A793" s="38"/>
      <c r="B793" s="38"/>
      <c r="C793" s="38"/>
      <c r="D793" s="38"/>
      <c r="E793" s="489"/>
      <c r="F793" s="489"/>
      <c r="G793" s="489"/>
      <c r="H793" s="489"/>
      <c r="I793" s="489"/>
      <c r="J793" s="489"/>
      <c r="K793" s="489"/>
      <c r="L793" s="38"/>
      <c r="M793" s="472"/>
      <c r="N793" s="472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15.75" customHeight="1" x14ac:dyDescent="0.35">
      <c r="A794" s="38"/>
      <c r="B794" s="38"/>
      <c r="C794" s="38"/>
      <c r="D794" s="38"/>
      <c r="E794" s="489"/>
      <c r="F794" s="489"/>
      <c r="G794" s="489"/>
      <c r="H794" s="489"/>
      <c r="I794" s="489"/>
      <c r="J794" s="489"/>
      <c r="K794" s="489"/>
      <c r="L794" s="38"/>
      <c r="M794" s="472"/>
      <c r="N794" s="472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15.75" customHeight="1" x14ac:dyDescent="0.35">
      <c r="A795" s="38"/>
      <c r="B795" s="38"/>
      <c r="C795" s="38"/>
      <c r="D795" s="38"/>
      <c r="E795" s="489"/>
      <c r="F795" s="489"/>
      <c r="G795" s="489"/>
      <c r="H795" s="489"/>
      <c r="I795" s="489"/>
      <c r="J795" s="489"/>
      <c r="K795" s="489"/>
      <c r="L795" s="38"/>
      <c r="M795" s="472"/>
      <c r="N795" s="472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15.75" customHeight="1" x14ac:dyDescent="0.35">
      <c r="A796" s="38"/>
      <c r="B796" s="38"/>
      <c r="C796" s="38"/>
      <c r="D796" s="38"/>
      <c r="E796" s="489"/>
      <c r="F796" s="489"/>
      <c r="G796" s="489"/>
      <c r="H796" s="489"/>
      <c r="I796" s="489"/>
      <c r="J796" s="489"/>
      <c r="K796" s="489"/>
      <c r="L796" s="38"/>
      <c r="M796" s="472"/>
      <c r="N796" s="472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15.75" customHeight="1" x14ac:dyDescent="0.35">
      <c r="A797" s="38"/>
      <c r="B797" s="38"/>
      <c r="C797" s="38"/>
      <c r="D797" s="38"/>
      <c r="E797" s="489"/>
      <c r="F797" s="489"/>
      <c r="G797" s="489"/>
      <c r="H797" s="489"/>
      <c r="I797" s="489"/>
      <c r="J797" s="489"/>
      <c r="K797" s="489"/>
      <c r="L797" s="38"/>
      <c r="M797" s="472"/>
      <c r="N797" s="472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15.75" customHeight="1" x14ac:dyDescent="0.35">
      <c r="A798" s="38"/>
      <c r="B798" s="38"/>
      <c r="C798" s="38"/>
      <c r="D798" s="38"/>
      <c r="E798" s="489"/>
      <c r="F798" s="489"/>
      <c r="G798" s="489"/>
      <c r="H798" s="489"/>
      <c r="I798" s="489"/>
      <c r="J798" s="489"/>
      <c r="K798" s="489"/>
      <c r="L798" s="38"/>
      <c r="M798" s="472"/>
      <c r="N798" s="472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15.75" customHeight="1" x14ac:dyDescent="0.35">
      <c r="A799" s="38"/>
      <c r="B799" s="38"/>
      <c r="C799" s="38"/>
      <c r="D799" s="38"/>
      <c r="E799" s="489"/>
      <c r="F799" s="489"/>
      <c r="G799" s="489"/>
      <c r="H799" s="489"/>
      <c r="I799" s="489"/>
      <c r="J799" s="489"/>
      <c r="K799" s="489"/>
      <c r="L799" s="38"/>
      <c r="M799" s="472"/>
      <c r="N799" s="472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15.75" customHeight="1" x14ac:dyDescent="0.35">
      <c r="A800" s="38"/>
      <c r="B800" s="38"/>
      <c r="C800" s="38"/>
      <c r="D800" s="38"/>
      <c r="E800" s="489"/>
      <c r="F800" s="489"/>
      <c r="G800" s="489"/>
      <c r="H800" s="489"/>
      <c r="I800" s="489"/>
      <c r="J800" s="489"/>
      <c r="K800" s="489"/>
      <c r="L800" s="38"/>
      <c r="M800" s="472"/>
      <c r="N800" s="472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15.75" customHeight="1" x14ac:dyDescent="0.35">
      <c r="A801" s="38"/>
      <c r="B801" s="38"/>
      <c r="C801" s="38"/>
      <c r="D801" s="38"/>
      <c r="E801" s="489"/>
      <c r="F801" s="489"/>
      <c r="G801" s="489"/>
      <c r="H801" s="489"/>
      <c r="I801" s="489"/>
      <c r="J801" s="489"/>
      <c r="K801" s="489"/>
      <c r="L801" s="38"/>
      <c r="M801" s="472"/>
      <c r="N801" s="472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15.75" customHeight="1" x14ac:dyDescent="0.35">
      <c r="A802" s="38"/>
      <c r="B802" s="38"/>
      <c r="C802" s="38"/>
      <c r="D802" s="38"/>
      <c r="E802" s="489"/>
      <c r="F802" s="489"/>
      <c r="G802" s="489"/>
      <c r="H802" s="489"/>
      <c r="I802" s="489"/>
      <c r="J802" s="489"/>
      <c r="K802" s="489"/>
      <c r="L802" s="38"/>
      <c r="M802" s="472"/>
      <c r="N802" s="472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15.75" customHeight="1" x14ac:dyDescent="0.35">
      <c r="A803" s="38"/>
      <c r="B803" s="38"/>
      <c r="C803" s="38"/>
      <c r="D803" s="38"/>
      <c r="E803" s="489"/>
      <c r="F803" s="489"/>
      <c r="G803" s="489"/>
      <c r="H803" s="489"/>
      <c r="I803" s="489"/>
      <c r="J803" s="489"/>
      <c r="K803" s="489"/>
      <c r="L803" s="38"/>
      <c r="M803" s="472"/>
      <c r="N803" s="472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15.75" customHeight="1" x14ac:dyDescent="0.35">
      <c r="A804" s="38"/>
      <c r="B804" s="38"/>
      <c r="C804" s="38"/>
      <c r="D804" s="38"/>
      <c r="E804" s="489"/>
      <c r="F804" s="489"/>
      <c r="G804" s="489"/>
      <c r="H804" s="489"/>
      <c r="I804" s="489"/>
      <c r="J804" s="489"/>
      <c r="K804" s="489"/>
      <c r="L804" s="38"/>
      <c r="M804" s="472"/>
      <c r="N804" s="472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15.75" customHeight="1" x14ac:dyDescent="0.35">
      <c r="A805" s="38"/>
      <c r="B805" s="38"/>
      <c r="C805" s="38"/>
      <c r="D805" s="38"/>
      <c r="E805" s="489"/>
      <c r="F805" s="489"/>
      <c r="G805" s="489"/>
      <c r="H805" s="489"/>
      <c r="I805" s="489"/>
      <c r="J805" s="489"/>
      <c r="K805" s="489"/>
      <c r="L805" s="38"/>
      <c r="M805" s="472"/>
      <c r="N805" s="472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15.75" customHeight="1" x14ac:dyDescent="0.35">
      <c r="A806" s="38"/>
      <c r="B806" s="38"/>
      <c r="C806" s="38"/>
      <c r="D806" s="38"/>
      <c r="E806" s="489"/>
      <c r="F806" s="489"/>
      <c r="G806" s="489"/>
      <c r="H806" s="489"/>
      <c r="I806" s="489"/>
      <c r="J806" s="489"/>
      <c r="K806" s="489"/>
      <c r="L806" s="38"/>
      <c r="M806" s="472"/>
      <c r="N806" s="472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15.75" customHeight="1" x14ac:dyDescent="0.35">
      <c r="A807" s="38"/>
      <c r="B807" s="38"/>
      <c r="C807" s="38"/>
      <c r="D807" s="38"/>
      <c r="E807" s="489"/>
      <c r="F807" s="489"/>
      <c r="G807" s="489"/>
      <c r="H807" s="489"/>
      <c r="I807" s="489"/>
      <c r="J807" s="489"/>
      <c r="K807" s="489"/>
      <c r="L807" s="38"/>
      <c r="M807" s="472"/>
      <c r="N807" s="472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15.75" customHeight="1" x14ac:dyDescent="0.35">
      <c r="A808" s="38"/>
      <c r="B808" s="38"/>
      <c r="C808" s="38"/>
      <c r="D808" s="38"/>
      <c r="E808" s="489"/>
      <c r="F808" s="489"/>
      <c r="G808" s="489"/>
      <c r="H808" s="489"/>
      <c r="I808" s="489"/>
      <c r="J808" s="489"/>
      <c r="K808" s="489"/>
      <c r="L808" s="38"/>
      <c r="M808" s="472"/>
      <c r="N808" s="472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15.75" customHeight="1" x14ac:dyDescent="0.35">
      <c r="A809" s="38"/>
      <c r="B809" s="38"/>
      <c r="C809" s="38"/>
      <c r="D809" s="38"/>
      <c r="E809" s="489"/>
      <c r="F809" s="489"/>
      <c r="G809" s="489"/>
      <c r="H809" s="489"/>
      <c r="I809" s="489"/>
      <c r="J809" s="489"/>
      <c r="K809" s="489"/>
      <c r="L809" s="38"/>
      <c r="M809" s="472"/>
      <c r="N809" s="472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15.75" customHeight="1" x14ac:dyDescent="0.35">
      <c r="A810" s="38"/>
      <c r="B810" s="38"/>
      <c r="C810" s="38"/>
      <c r="D810" s="38"/>
      <c r="E810" s="489"/>
      <c r="F810" s="489"/>
      <c r="G810" s="489"/>
      <c r="H810" s="489"/>
      <c r="I810" s="489"/>
      <c r="J810" s="489"/>
      <c r="K810" s="489"/>
      <c r="L810" s="38"/>
      <c r="M810" s="472"/>
      <c r="N810" s="472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15.75" customHeight="1" x14ac:dyDescent="0.35">
      <c r="A811" s="38"/>
      <c r="B811" s="38"/>
      <c r="C811" s="38"/>
      <c r="D811" s="38"/>
      <c r="E811" s="489"/>
      <c r="F811" s="489"/>
      <c r="G811" s="489"/>
      <c r="H811" s="489"/>
      <c r="I811" s="489"/>
      <c r="J811" s="489"/>
      <c r="K811" s="489"/>
      <c r="L811" s="38"/>
      <c r="M811" s="472"/>
      <c r="N811" s="472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15.75" customHeight="1" x14ac:dyDescent="0.35">
      <c r="A812" s="38"/>
      <c r="B812" s="38"/>
      <c r="C812" s="38"/>
      <c r="D812" s="38"/>
      <c r="E812" s="489"/>
      <c r="F812" s="489"/>
      <c r="G812" s="489"/>
      <c r="H812" s="489"/>
      <c r="I812" s="489"/>
      <c r="J812" s="489"/>
      <c r="K812" s="489"/>
      <c r="L812" s="38"/>
      <c r="M812" s="472"/>
      <c r="N812" s="472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15.75" customHeight="1" x14ac:dyDescent="0.35">
      <c r="A813" s="38"/>
      <c r="B813" s="38"/>
      <c r="C813" s="38"/>
      <c r="D813" s="38"/>
      <c r="E813" s="489"/>
      <c r="F813" s="489"/>
      <c r="G813" s="489"/>
      <c r="H813" s="489"/>
      <c r="I813" s="489"/>
      <c r="J813" s="489"/>
      <c r="K813" s="489"/>
      <c r="L813" s="38"/>
      <c r="M813" s="472"/>
      <c r="N813" s="472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15.75" customHeight="1" x14ac:dyDescent="0.35">
      <c r="A814" s="38"/>
      <c r="B814" s="38"/>
      <c r="C814" s="38"/>
      <c r="D814" s="38"/>
      <c r="E814" s="489"/>
      <c r="F814" s="489"/>
      <c r="G814" s="489"/>
      <c r="H814" s="489"/>
      <c r="I814" s="489"/>
      <c r="J814" s="489"/>
      <c r="K814" s="489"/>
      <c r="L814" s="38"/>
      <c r="M814" s="472"/>
      <c r="N814" s="472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15.75" customHeight="1" x14ac:dyDescent="0.35">
      <c r="A815" s="38"/>
      <c r="B815" s="38"/>
      <c r="C815" s="38"/>
      <c r="D815" s="38"/>
      <c r="E815" s="489"/>
      <c r="F815" s="489"/>
      <c r="G815" s="489"/>
      <c r="H815" s="489"/>
      <c r="I815" s="489"/>
      <c r="J815" s="489"/>
      <c r="K815" s="489"/>
      <c r="L815" s="38"/>
      <c r="M815" s="472"/>
      <c r="N815" s="472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15.75" customHeight="1" x14ac:dyDescent="0.35">
      <c r="A816" s="38"/>
      <c r="B816" s="38"/>
      <c r="C816" s="38"/>
      <c r="D816" s="38"/>
      <c r="E816" s="489"/>
      <c r="F816" s="489"/>
      <c r="G816" s="489"/>
      <c r="H816" s="489"/>
      <c r="I816" s="489"/>
      <c r="J816" s="489"/>
      <c r="K816" s="489"/>
      <c r="L816" s="38"/>
      <c r="M816" s="472"/>
      <c r="N816" s="472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15.75" customHeight="1" x14ac:dyDescent="0.35">
      <c r="A817" s="38"/>
      <c r="B817" s="38"/>
      <c r="C817" s="38"/>
      <c r="D817" s="38"/>
      <c r="E817" s="489"/>
      <c r="F817" s="489"/>
      <c r="G817" s="489"/>
      <c r="H817" s="489"/>
      <c r="I817" s="489"/>
      <c r="J817" s="489"/>
      <c r="K817" s="489"/>
      <c r="L817" s="38"/>
      <c r="M817" s="472"/>
      <c r="N817" s="472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15.75" customHeight="1" x14ac:dyDescent="0.35">
      <c r="A818" s="38"/>
      <c r="B818" s="38"/>
      <c r="C818" s="38"/>
      <c r="D818" s="38"/>
      <c r="E818" s="489"/>
      <c r="F818" s="489"/>
      <c r="G818" s="489"/>
      <c r="H818" s="489"/>
      <c r="I818" s="489"/>
      <c r="J818" s="489"/>
      <c r="K818" s="489"/>
      <c r="L818" s="38"/>
      <c r="M818" s="472"/>
      <c r="N818" s="472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15.75" customHeight="1" x14ac:dyDescent="0.35">
      <c r="A819" s="38"/>
      <c r="B819" s="38"/>
      <c r="C819" s="38"/>
      <c r="D819" s="38"/>
      <c r="E819" s="489"/>
      <c r="F819" s="489"/>
      <c r="G819" s="489"/>
      <c r="H819" s="489"/>
      <c r="I819" s="489"/>
      <c r="J819" s="489"/>
      <c r="K819" s="489"/>
      <c r="L819" s="38"/>
      <c r="M819" s="472"/>
      <c r="N819" s="472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15.75" customHeight="1" x14ac:dyDescent="0.35">
      <c r="A820" s="38"/>
      <c r="B820" s="38"/>
      <c r="C820" s="38"/>
      <c r="D820" s="38"/>
      <c r="E820" s="489"/>
      <c r="F820" s="489"/>
      <c r="G820" s="489"/>
      <c r="H820" s="489"/>
      <c r="I820" s="489"/>
      <c r="J820" s="489"/>
      <c r="K820" s="489"/>
      <c r="L820" s="38"/>
      <c r="M820" s="472"/>
      <c r="N820" s="472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15.75" customHeight="1" x14ac:dyDescent="0.35">
      <c r="A821" s="38"/>
      <c r="B821" s="38"/>
      <c r="C821" s="38"/>
      <c r="D821" s="38"/>
      <c r="E821" s="489"/>
      <c r="F821" s="489"/>
      <c r="G821" s="489"/>
      <c r="H821" s="489"/>
      <c r="I821" s="489"/>
      <c r="J821" s="489"/>
      <c r="K821" s="489"/>
      <c r="L821" s="38"/>
      <c r="M821" s="472"/>
      <c r="N821" s="472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15.75" customHeight="1" x14ac:dyDescent="0.35">
      <c r="A822" s="38"/>
      <c r="B822" s="38"/>
      <c r="C822" s="38"/>
      <c r="D822" s="38"/>
      <c r="E822" s="489"/>
      <c r="F822" s="489"/>
      <c r="G822" s="489"/>
      <c r="H822" s="489"/>
      <c r="I822" s="489"/>
      <c r="J822" s="489"/>
      <c r="K822" s="489"/>
      <c r="L822" s="38"/>
      <c r="M822" s="472"/>
      <c r="N822" s="472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15.75" customHeight="1" x14ac:dyDescent="0.35">
      <c r="A823" s="38"/>
      <c r="B823" s="38"/>
      <c r="C823" s="38"/>
      <c r="D823" s="38"/>
      <c r="E823" s="489"/>
      <c r="F823" s="489"/>
      <c r="G823" s="489"/>
      <c r="H823" s="489"/>
      <c r="I823" s="489"/>
      <c r="J823" s="489"/>
      <c r="K823" s="489"/>
      <c r="L823" s="38"/>
      <c r="M823" s="472"/>
      <c r="N823" s="472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15.75" customHeight="1" x14ac:dyDescent="0.35">
      <c r="A824" s="38"/>
      <c r="B824" s="38"/>
      <c r="C824" s="38"/>
      <c r="D824" s="38"/>
      <c r="E824" s="489"/>
      <c r="F824" s="489"/>
      <c r="G824" s="489"/>
      <c r="H824" s="489"/>
      <c r="I824" s="489"/>
      <c r="J824" s="489"/>
      <c r="K824" s="489"/>
      <c r="L824" s="38"/>
      <c r="M824" s="472"/>
      <c r="N824" s="472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15.75" customHeight="1" x14ac:dyDescent="0.35">
      <c r="A825" s="38"/>
      <c r="B825" s="38"/>
      <c r="C825" s="38"/>
      <c r="D825" s="38"/>
      <c r="E825" s="489"/>
      <c r="F825" s="489"/>
      <c r="G825" s="489"/>
      <c r="H825" s="489"/>
      <c r="I825" s="489"/>
      <c r="J825" s="489"/>
      <c r="K825" s="489"/>
      <c r="L825" s="38"/>
      <c r="M825" s="472"/>
      <c r="N825" s="472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15.75" customHeight="1" x14ac:dyDescent="0.35">
      <c r="A826" s="38"/>
      <c r="B826" s="38"/>
      <c r="C826" s="38"/>
      <c r="D826" s="38"/>
      <c r="E826" s="489"/>
      <c r="F826" s="489"/>
      <c r="G826" s="489"/>
      <c r="H826" s="489"/>
      <c r="I826" s="489"/>
      <c r="J826" s="489"/>
      <c r="K826" s="489"/>
      <c r="L826" s="38"/>
      <c r="M826" s="472"/>
      <c r="N826" s="472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15.75" customHeight="1" x14ac:dyDescent="0.35">
      <c r="A827" s="38"/>
      <c r="B827" s="38"/>
      <c r="C827" s="38"/>
      <c r="D827" s="38"/>
      <c r="E827" s="489"/>
      <c r="F827" s="489"/>
      <c r="G827" s="489"/>
      <c r="H827" s="489"/>
      <c r="I827" s="489"/>
      <c r="J827" s="489"/>
      <c r="K827" s="489"/>
      <c r="L827" s="38"/>
      <c r="M827" s="472"/>
      <c r="N827" s="472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15.75" customHeight="1" x14ac:dyDescent="0.35">
      <c r="A828" s="38"/>
      <c r="B828" s="38"/>
      <c r="C828" s="38"/>
      <c r="D828" s="38"/>
      <c r="E828" s="489"/>
      <c r="F828" s="489"/>
      <c r="G828" s="489"/>
      <c r="H828" s="489"/>
      <c r="I828" s="489"/>
      <c r="J828" s="489"/>
      <c r="K828" s="489"/>
      <c r="L828" s="38"/>
      <c r="M828" s="472"/>
      <c r="N828" s="472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15.75" customHeight="1" x14ac:dyDescent="0.35">
      <c r="A829" s="38"/>
      <c r="B829" s="38"/>
      <c r="C829" s="38"/>
      <c r="D829" s="38"/>
      <c r="E829" s="489"/>
      <c r="F829" s="489"/>
      <c r="G829" s="489"/>
      <c r="H829" s="489"/>
      <c r="I829" s="489"/>
      <c r="J829" s="489"/>
      <c r="K829" s="489"/>
      <c r="L829" s="38"/>
      <c r="M829" s="472"/>
      <c r="N829" s="472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15.75" customHeight="1" x14ac:dyDescent="0.35">
      <c r="A830" s="38"/>
      <c r="B830" s="38"/>
      <c r="C830" s="38"/>
      <c r="D830" s="38"/>
      <c r="E830" s="489"/>
      <c r="F830" s="489"/>
      <c r="G830" s="489"/>
      <c r="H830" s="489"/>
      <c r="I830" s="489"/>
      <c r="J830" s="489"/>
      <c r="K830" s="489"/>
      <c r="L830" s="38"/>
      <c r="M830" s="472"/>
      <c r="N830" s="472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15.75" customHeight="1" x14ac:dyDescent="0.35">
      <c r="A831" s="38"/>
      <c r="B831" s="38"/>
      <c r="C831" s="38"/>
      <c r="D831" s="38"/>
      <c r="E831" s="489"/>
      <c r="F831" s="489"/>
      <c r="G831" s="489"/>
      <c r="H831" s="489"/>
      <c r="I831" s="489"/>
      <c r="J831" s="489"/>
      <c r="K831" s="489"/>
      <c r="L831" s="38"/>
      <c r="M831" s="472"/>
      <c r="N831" s="472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15.75" customHeight="1" x14ac:dyDescent="0.35">
      <c r="A832" s="38"/>
      <c r="B832" s="38"/>
      <c r="C832" s="38"/>
      <c r="D832" s="38"/>
      <c r="E832" s="489"/>
      <c r="F832" s="489"/>
      <c r="G832" s="489"/>
      <c r="H832" s="489"/>
      <c r="I832" s="489"/>
      <c r="J832" s="489"/>
      <c r="K832" s="489"/>
      <c r="L832" s="38"/>
      <c r="M832" s="472"/>
      <c r="N832" s="472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15.75" customHeight="1" x14ac:dyDescent="0.35">
      <c r="A833" s="38"/>
      <c r="B833" s="38"/>
      <c r="C833" s="38"/>
      <c r="D833" s="38"/>
      <c r="E833" s="489"/>
      <c r="F833" s="489"/>
      <c r="G833" s="489"/>
      <c r="H833" s="489"/>
      <c r="I833" s="489"/>
      <c r="J833" s="489"/>
      <c r="K833" s="489"/>
      <c r="L833" s="38"/>
      <c r="M833" s="472"/>
      <c r="N833" s="472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15.75" customHeight="1" x14ac:dyDescent="0.35">
      <c r="A834" s="38"/>
      <c r="B834" s="38"/>
      <c r="C834" s="38"/>
      <c r="D834" s="38"/>
      <c r="E834" s="489"/>
      <c r="F834" s="489"/>
      <c r="G834" s="489"/>
      <c r="H834" s="489"/>
      <c r="I834" s="489"/>
      <c r="J834" s="489"/>
      <c r="K834" s="489"/>
      <c r="L834" s="38"/>
      <c r="M834" s="472"/>
      <c r="N834" s="472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15.75" customHeight="1" x14ac:dyDescent="0.35">
      <c r="A835" s="38"/>
      <c r="B835" s="38"/>
      <c r="C835" s="38"/>
      <c r="D835" s="38"/>
      <c r="E835" s="489"/>
      <c r="F835" s="489"/>
      <c r="G835" s="489"/>
      <c r="H835" s="489"/>
      <c r="I835" s="489"/>
      <c r="J835" s="489"/>
      <c r="K835" s="489"/>
      <c r="L835" s="38"/>
      <c r="M835" s="472"/>
      <c r="N835" s="472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15.75" customHeight="1" x14ac:dyDescent="0.35">
      <c r="A836" s="38"/>
      <c r="B836" s="38"/>
      <c r="C836" s="38"/>
      <c r="D836" s="38"/>
      <c r="E836" s="489"/>
      <c r="F836" s="489"/>
      <c r="G836" s="489"/>
      <c r="H836" s="489"/>
      <c r="I836" s="489"/>
      <c r="J836" s="489"/>
      <c r="K836" s="489"/>
      <c r="L836" s="38"/>
      <c r="M836" s="472"/>
      <c r="N836" s="472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15.75" customHeight="1" x14ac:dyDescent="0.35">
      <c r="A837" s="38"/>
      <c r="B837" s="38"/>
      <c r="C837" s="38"/>
      <c r="D837" s="38"/>
      <c r="E837" s="489"/>
      <c r="F837" s="489"/>
      <c r="G837" s="489"/>
      <c r="H837" s="489"/>
      <c r="I837" s="489"/>
      <c r="J837" s="489"/>
      <c r="K837" s="489"/>
      <c r="L837" s="38"/>
      <c r="M837" s="472"/>
      <c r="N837" s="472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15.75" customHeight="1" x14ac:dyDescent="0.35">
      <c r="A838" s="38"/>
      <c r="B838" s="38"/>
      <c r="C838" s="38"/>
      <c r="D838" s="38"/>
      <c r="E838" s="489"/>
      <c r="F838" s="489"/>
      <c r="G838" s="489"/>
      <c r="H838" s="489"/>
      <c r="I838" s="489"/>
      <c r="J838" s="489"/>
      <c r="K838" s="489"/>
      <c r="L838" s="38"/>
      <c r="M838" s="472"/>
      <c r="N838" s="472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15.75" customHeight="1" x14ac:dyDescent="0.35">
      <c r="A839" s="38"/>
      <c r="B839" s="38"/>
      <c r="C839" s="38"/>
      <c r="D839" s="38"/>
      <c r="E839" s="489"/>
      <c r="F839" s="489"/>
      <c r="G839" s="489"/>
      <c r="H839" s="489"/>
      <c r="I839" s="489"/>
      <c r="J839" s="489"/>
      <c r="K839" s="489"/>
      <c r="L839" s="38"/>
      <c r="M839" s="472"/>
      <c r="N839" s="472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15.75" customHeight="1" x14ac:dyDescent="0.35">
      <c r="A840" s="38"/>
      <c r="B840" s="38"/>
      <c r="C840" s="38"/>
      <c r="D840" s="38"/>
      <c r="E840" s="489"/>
      <c r="F840" s="489"/>
      <c r="G840" s="489"/>
      <c r="H840" s="489"/>
      <c r="I840" s="489"/>
      <c r="J840" s="489"/>
      <c r="K840" s="489"/>
      <c r="L840" s="38"/>
      <c r="M840" s="472"/>
      <c r="N840" s="472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15.75" customHeight="1" x14ac:dyDescent="0.35">
      <c r="A841" s="38"/>
      <c r="B841" s="38"/>
      <c r="C841" s="38"/>
      <c r="D841" s="38"/>
      <c r="E841" s="489"/>
      <c r="F841" s="489"/>
      <c r="G841" s="489"/>
      <c r="H841" s="489"/>
      <c r="I841" s="489"/>
      <c r="J841" s="489"/>
      <c r="K841" s="489"/>
      <c r="L841" s="38"/>
      <c r="M841" s="472"/>
      <c r="N841" s="472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15.75" customHeight="1" x14ac:dyDescent="0.35">
      <c r="A842" s="38"/>
      <c r="B842" s="38"/>
      <c r="C842" s="38"/>
      <c r="D842" s="38"/>
      <c r="E842" s="489"/>
      <c r="F842" s="489"/>
      <c r="G842" s="489"/>
      <c r="H842" s="489"/>
      <c r="I842" s="489"/>
      <c r="J842" s="489"/>
      <c r="K842" s="489"/>
      <c r="L842" s="38"/>
      <c r="M842" s="472"/>
      <c r="N842" s="472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15.75" customHeight="1" x14ac:dyDescent="0.35">
      <c r="A843" s="38"/>
      <c r="B843" s="38"/>
      <c r="C843" s="38"/>
      <c r="D843" s="38"/>
      <c r="E843" s="489"/>
      <c r="F843" s="489"/>
      <c r="G843" s="489"/>
      <c r="H843" s="489"/>
      <c r="I843" s="489"/>
      <c r="J843" s="489"/>
      <c r="K843" s="489"/>
      <c r="L843" s="38"/>
      <c r="M843" s="472"/>
      <c r="N843" s="472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15.75" customHeight="1" x14ac:dyDescent="0.35">
      <c r="A844" s="38"/>
      <c r="B844" s="38"/>
      <c r="C844" s="38"/>
      <c r="D844" s="38"/>
      <c r="E844" s="489"/>
      <c r="F844" s="489"/>
      <c r="G844" s="489"/>
      <c r="H844" s="489"/>
      <c r="I844" s="489"/>
      <c r="J844" s="489"/>
      <c r="K844" s="489"/>
      <c r="L844" s="38"/>
      <c r="M844" s="472"/>
      <c r="N844" s="472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15.75" customHeight="1" x14ac:dyDescent="0.35">
      <c r="A845" s="38"/>
      <c r="B845" s="38"/>
      <c r="C845" s="38"/>
      <c r="D845" s="38"/>
      <c r="E845" s="489"/>
      <c r="F845" s="489"/>
      <c r="G845" s="489"/>
      <c r="H845" s="489"/>
      <c r="I845" s="489"/>
      <c r="J845" s="489"/>
      <c r="K845" s="489"/>
      <c r="L845" s="38"/>
      <c r="M845" s="472"/>
      <c r="N845" s="472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15.75" customHeight="1" x14ac:dyDescent="0.35">
      <c r="A846" s="38"/>
      <c r="B846" s="38"/>
      <c r="C846" s="38"/>
      <c r="D846" s="38"/>
      <c r="E846" s="489"/>
      <c r="F846" s="489"/>
      <c r="G846" s="489"/>
      <c r="H846" s="489"/>
      <c r="I846" s="489"/>
      <c r="J846" s="489"/>
      <c r="K846" s="489"/>
      <c r="L846" s="38"/>
      <c r="M846" s="472"/>
      <c r="N846" s="472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15.75" customHeight="1" x14ac:dyDescent="0.35">
      <c r="A847" s="38"/>
      <c r="B847" s="38"/>
      <c r="C847" s="38"/>
      <c r="D847" s="38"/>
      <c r="E847" s="489"/>
      <c r="F847" s="489"/>
      <c r="G847" s="489"/>
      <c r="H847" s="489"/>
      <c r="I847" s="489"/>
      <c r="J847" s="489"/>
      <c r="K847" s="489"/>
      <c r="L847" s="38"/>
      <c r="M847" s="472"/>
      <c r="N847" s="472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15.75" customHeight="1" x14ac:dyDescent="0.35">
      <c r="A848" s="38"/>
      <c r="B848" s="38"/>
      <c r="C848" s="38"/>
      <c r="D848" s="38"/>
      <c r="E848" s="489"/>
      <c r="F848" s="489"/>
      <c r="G848" s="489"/>
      <c r="H848" s="489"/>
      <c r="I848" s="489"/>
      <c r="J848" s="489"/>
      <c r="K848" s="489"/>
      <c r="L848" s="38"/>
      <c r="M848" s="472"/>
      <c r="N848" s="472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15.75" customHeight="1" x14ac:dyDescent="0.35">
      <c r="A849" s="38"/>
      <c r="B849" s="38"/>
      <c r="C849" s="38"/>
      <c r="D849" s="38"/>
      <c r="E849" s="489"/>
      <c r="F849" s="489"/>
      <c r="G849" s="489"/>
      <c r="H849" s="489"/>
      <c r="I849" s="489"/>
      <c r="J849" s="489"/>
      <c r="K849" s="489"/>
      <c r="L849" s="38"/>
      <c r="M849" s="472"/>
      <c r="N849" s="472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15.75" customHeight="1" x14ac:dyDescent="0.35">
      <c r="A850" s="38"/>
      <c r="B850" s="38"/>
      <c r="C850" s="38"/>
      <c r="D850" s="38"/>
      <c r="E850" s="489"/>
      <c r="F850" s="489"/>
      <c r="G850" s="489"/>
      <c r="H850" s="489"/>
      <c r="I850" s="489"/>
      <c r="J850" s="489"/>
      <c r="K850" s="489"/>
      <c r="L850" s="38"/>
      <c r="M850" s="472"/>
      <c r="N850" s="472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15.75" customHeight="1" x14ac:dyDescent="0.35">
      <c r="A851" s="38"/>
      <c r="B851" s="38"/>
      <c r="C851" s="38"/>
      <c r="D851" s="38"/>
      <c r="E851" s="489"/>
      <c r="F851" s="489"/>
      <c r="G851" s="489"/>
      <c r="H851" s="489"/>
      <c r="I851" s="489"/>
      <c r="J851" s="489"/>
      <c r="K851" s="489"/>
      <c r="L851" s="38"/>
      <c r="M851" s="472"/>
      <c r="N851" s="472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15.75" customHeight="1" x14ac:dyDescent="0.35">
      <c r="A852" s="38"/>
      <c r="B852" s="38"/>
      <c r="C852" s="38"/>
      <c r="D852" s="38"/>
      <c r="E852" s="489"/>
      <c r="F852" s="489"/>
      <c r="G852" s="489"/>
      <c r="H852" s="489"/>
      <c r="I852" s="489"/>
      <c r="J852" s="489"/>
      <c r="K852" s="489"/>
      <c r="L852" s="38"/>
      <c r="M852" s="472"/>
      <c r="N852" s="472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15.75" customHeight="1" x14ac:dyDescent="0.35">
      <c r="A853" s="38"/>
      <c r="B853" s="38"/>
      <c r="C853" s="38"/>
      <c r="D853" s="38"/>
      <c r="E853" s="489"/>
      <c r="F853" s="489"/>
      <c r="G853" s="489"/>
      <c r="H853" s="489"/>
      <c r="I853" s="489"/>
      <c r="J853" s="489"/>
      <c r="K853" s="489"/>
      <c r="L853" s="38"/>
      <c r="M853" s="472"/>
      <c r="N853" s="472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15.75" customHeight="1" x14ac:dyDescent="0.35">
      <c r="A854" s="38"/>
      <c r="B854" s="38"/>
      <c r="C854" s="38"/>
      <c r="D854" s="38"/>
      <c r="E854" s="489"/>
      <c r="F854" s="489"/>
      <c r="G854" s="489"/>
      <c r="H854" s="489"/>
      <c r="I854" s="489"/>
      <c r="J854" s="489"/>
      <c r="K854" s="489"/>
      <c r="L854" s="38"/>
      <c r="M854" s="472"/>
      <c r="N854" s="472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15.75" customHeight="1" x14ac:dyDescent="0.35">
      <c r="A855" s="38"/>
      <c r="B855" s="38"/>
      <c r="C855" s="38"/>
      <c r="D855" s="38"/>
      <c r="E855" s="489"/>
      <c r="F855" s="489"/>
      <c r="G855" s="489"/>
      <c r="H855" s="489"/>
      <c r="I855" s="489"/>
      <c r="J855" s="489"/>
      <c r="K855" s="489"/>
      <c r="L855" s="38"/>
      <c r="M855" s="472"/>
      <c r="N855" s="472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15.75" customHeight="1" x14ac:dyDescent="0.35">
      <c r="A856" s="38"/>
      <c r="B856" s="38"/>
      <c r="C856" s="38"/>
      <c r="D856" s="38"/>
      <c r="E856" s="489"/>
      <c r="F856" s="489"/>
      <c r="G856" s="489"/>
      <c r="H856" s="489"/>
      <c r="I856" s="489"/>
      <c r="J856" s="489"/>
      <c r="K856" s="489"/>
      <c r="L856" s="38"/>
      <c r="M856" s="472"/>
      <c r="N856" s="472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15.75" customHeight="1" x14ac:dyDescent="0.35">
      <c r="A857" s="38"/>
      <c r="B857" s="38"/>
      <c r="C857" s="38"/>
      <c r="D857" s="38"/>
      <c r="E857" s="489"/>
      <c r="F857" s="489"/>
      <c r="G857" s="489"/>
      <c r="H857" s="489"/>
      <c r="I857" s="489"/>
      <c r="J857" s="489"/>
      <c r="K857" s="489"/>
      <c r="L857" s="38"/>
      <c r="M857" s="472"/>
      <c r="N857" s="472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15.75" customHeight="1" x14ac:dyDescent="0.35">
      <c r="A858" s="38"/>
      <c r="B858" s="38"/>
      <c r="C858" s="38"/>
      <c r="D858" s="38"/>
      <c r="E858" s="489"/>
      <c r="F858" s="489"/>
      <c r="G858" s="489"/>
      <c r="H858" s="489"/>
      <c r="I858" s="489"/>
      <c r="J858" s="489"/>
      <c r="K858" s="489"/>
      <c r="L858" s="38"/>
      <c r="M858" s="472"/>
      <c r="N858" s="472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15.75" customHeight="1" x14ac:dyDescent="0.35">
      <c r="A859" s="38"/>
      <c r="B859" s="38"/>
      <c r="C859" s="38"/>
      <c r="D859" s="38"/>
      <c r="E859" s="489"/>
      <c r="F859" s="489"/>
      <c r="G859" s="489"/>
      <c r="H859" s="489"/>
      <c r="I859" s="489"/>
      <c r="J859" s="489"/>
      <c r="K859" s="489"/>
      <c r="L859" s="38"/>
      <c r="M859" s="472"/>
      <c r="N859" s="472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15.75" customHeight="1" x14ac:dyDescent="0.35">
      <c r="A860" s="38"/>
      <c r="B860" s="38"/>
      <c r="C860" s="38"/>
      <c r="D860" s="38"/>
      <c r="E860" s="489"/>
      <c r="F860" s="489"/>
      <c r="G860" s="489"/>
      <c r="H860" s="489"/>
      <c r="I860" s="489"/>
      <c r="J860" s="489"/>
      <c r="K860" s="489"/>
      <c r="L860" s="38"/>
      <c r="M860" s="472"/>
      <c r="N860" s="472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15.75" customHeight="1" x14ac:dyDescent="0.35">
      <c r="A861" s="38"/>
      <c r="B861" s="38"/>
      <c r="C861" s="38"/>
      <c r="D861" s="38"/>
      <c r="E861" s="489"/>
      <c r="F861" s="489"/>
      <c r="G861" s="489"/>
      <c r="H861" s="489"/>
      <c r="I861" s="489"/>
      <c r="J861" s="489"/>
      <c r="K861" s="489"/>
      <c r="L861" s="38"/>
      <c r="M861" s="472"/>
      <c r="N861" s="472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15.75" customHeight="1" x14ac:dyDescent="0.35">
      <c r="A862" s="38"/>
      <c r="B862" s="38"/>
      <c r="C862" s="38"/>
      <c r="D862" s="38"/>
      <c r="E862" s="489"/>
      <c r="F862" s="489"/>
      <c r="G862" s="489"/>
      <c r="H862" s="489"/>
      <c r="I862" s="489"/>
      <c r="J862" s="489"/>
      <c r="K862" s="489"/>
      <c r="L862" s="38"/>
      <c r="M862" s="472"/>
      <c r="N862" s="472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15.75" customHeight="1" x14ac:dyDescent="0.35">
      <c r="A863" s="38"/>
      <c r="B863" s="38"/>
      <c r="C863" s="38"/>
      <c r="D863" s="38"/>
      <c r="E863" s="489"/>
      <c r="F863" s="489"/>
      <c r="G863" s="489"/>
      <c r="H863" s="489"/>
      <c r="I863" s="489"/>
      <c r="J863" s="489"/>
      <c r="K863" s="489"/>
      <c r="L863" s="38"/>
      <c r="M863" s="472"/>
      <c r="N863" s="472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15.75" customHeight="1" x14ac:dyDescent="0.35">
      <c r="A864" s="38"/>
      <c r="B864" s="38"/>
      <c r="C864" s="38"/>
      <c r="D864" s="38"/>
      <c r="E864" s="489"/>
      <c r="F864" s="489"/>
      <c r="G864" s="489"/>
      <c r="H864" s="489"/>
      <c r="I864" s="489"/>
      <c r="J864" s="489"/>
      <c r="K864" s="489"/>
      <c r="L864" s="38"/>
      <c r="M864" s="472"/>
      <c r="N864" s="472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15.75" customHeight="1" x14ac:dyDescent="0.35">
      <c r="A865" s="38"/>
      <c r="B865" s="38"/>
      <c r="C865" s="38"/>
      <c r="D865" s="38"/>
      <c r="E865" s="489"/>
      <c r="F865" s="489"/>
      <c r="G865" s="489"/>
      <c r="H865" s="489"/>
      <c r="I865" s="489"/>
      <c r="J865" s="489"/>
      <c r="K865" s="489"/>
      <c r="L865" s="38"/>
      <c r="M865" s="472"/>
      <c r="N865" s="472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15.75" customHeight="1" x14ac:dyDescent="0.35">
      <c r="A866" s="38"/>
      <c r="B866" s="38"/>
      <c r="C866" s="38"/>
      <c r="D866" s="38"/>
      <c r="E866" s="489"/>
      <c r="F866" s="489"/>
      <c r="G866" s="489"/>
      <c r="H866" s="489"/>
      <c r="I866" s="489"/>
      <c r="J866" s="489"/>
      <c r="K866" s="489"/>
      <c r="L866" s="38"/>
      <c r="M866" s="472"/>
      <c r="N866" s="472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15.75" customHeight="1" x14ac:dyDescent="0.35">
      <c r="A867" s="38"/>
      <c r="B867" s="38"/>
      <c r="C867" s="38"/>
      <c r="D867" s="38"/>
      <c r="E867" s="489"/>
      <c r="F867" s="489"/>
      <c r="G867" s="489"/>
      <c r="H867" s="489"/>
      <c r="I867" s="489"/>
      <c r="J867" s="489"/>
      <c r="K867" s="489"/>
      <c r="L867" s="38"/>
      <c r="M867" s="472"/>
      <c r="N867" s="472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15.75" customHeight="1" x14ac:dyDescent="0.35">
      <c r="A868" s="38"/>
      <c r="B868" s="38"/>
      <c r="C868" s="38"/>
      <c r="D868" s="38"/>
      <c r="E868" s="489"/>
      <c r="F868" s="489"/>
      <c r="G868" s="489"/>
      <c r="H868" s="489"/>
      <c r="I868" s="489"/>
      <c r="J868" s="489"/>
      <c r="K868" s="489"/>
      <c r="L868" s="38"/>
      <c r="M868" s="472"/>
      <c r="N868" s="472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15.75" customHeight="1" x14ac:dyDescent="0.35">
      <c r="A869" s="38"/>
      <c r="B869" s="38"/>
      <c r="C869" s="38"/>
      <c r="D869" s="38"/>
      <c r="E869" s="489"/>
      <c r="F869" s="489"/>
      <c r="G869" s="489"/>
      <c r="H869" s="489"/>
      <c r="I869" s="489"/>
      <c r="J869" s="489"/>
      <c r="K869" s="489"/>
      <c r="L869" s="38"/>
      <c r="M869" s="472"/>
      <c r="N869" s="472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15.75" customHeight="1" x14ac:dyDescent="0.35">
      <c r="A870" s="38"/>
      <c r="B870" s="38"/>
      <c r="C870" s="38"/>
      <c r="D870" s="38"/>
      <c r="E870" s="489"/>
      <c r="F870" s="489"/>
      <c r="G870" s="489"/>
      <c r="H870" s="489"/>
      <c r="I870" s="489"/>
      <c r="J870" s="489"/>
      <c r="K870" s="489"/>
      <c r="L870" s="38"/>
      <c r="M870" s="472"/>
      <c r="N870" s="472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15.75" customHeight="1" x14ac:dyDescent="0.35">
      <c r="A871" s="38"/>
      <c r="B871" s="38"/>
      <c r="C871" s="38"/>
      <c r="D871" s="38"/>
      <c r="E871" s="489"/>
      <c r="F871" s="489"/>
      <c r="G871" s="489"/>
      <c r="H871" s="489"/>
      <c r="I871" s="489"/>
      <c r="J871" s="489"/>
      <c r="K871" s="489"/>
      <c r="L871" s="38"/>
      <c r="M871" s="472"/>
      <c r="N871" s="472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15.75" customHeight="1" x14ac:dyDescent="0.35">
      <c r="A872" s="38"/>
      <c r="B872" s="38"/>
      <c r="C872" s="38"/>
      <c r="D872" s="38"/>
      <c r="E872" s="489"/>
      <c r="F872" s="489"/>
      <c r="G872" s="489"/>
      <c r="H872" s="489"/>
      <c r="I872" s="489"/>
      <c r="J872" s="489"/>
      <c r="K872" s="489"/>
      <c r="L872" s="38"/>
      <c r="M872" s="472"/>
      <c r="N872" s="472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15.75" customHeight="1" x14ac:dyDescent="0.35">
      <c r="A873" s="38"/>
      <c r="B873" s="38"/>
      <c r="C873" s="38"/>
      <c r="D873" s="38"/>
      <c r="E873" s="489"/>
      <c r="F873" s="489"/>
      <c r="G873" s="489"/>
      <c r="H873" s="489"/>
      <c r="I873" s="489"/>
      <c r="J873" s="489"/>
      <c r="K873" s="489"/>
      <c r="L873" s="38"/>
      <c r="M873" s="472"/>
      <c r="N873" s="472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15.75" customHeight="1" x14ac:dyDescent="0.35">
      <c r="A874" s="38"/>
      <c r="B874" s="38"/>
      <c r="C874" s="38"/>
      <c r="D874" s="38"/>
      <c r="E874" s="489"/>
      <c r="F874" s="489"/>
      <c r="G874" s="489"/>
      <c r="H874" s="489"/>
      <c r="I874" s="489"/>
      <c r="J874" s="489"/>
      <c r="K874" s="489"/>
      <c r="L874" s="38"/>
      <c r="M874" s="472"/>
      <c r="N874" s="472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15.75" customHeight="1" x14ac:dyDescent="0.35">
      <c r="A875" s="38"/>
      <c r="B875" s="38"/>
      <c r="C875" s="38"/>
      <c r="D875" s="38"/>
      <c r="E875" s="489"/>
      <c r="F875" s="489"/>
      <c r="G875" s="489"/>
      <c r="H875" s="489"/>
      <c r="I875" s="489"/>
      <c r="J875" s="489"/>
      <c r="K875" s="489"/>
      <c r="L875" s="38"/>
      <c r="M875" s="472"/>
      <c r="N875" s="472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15.75" customHeight="1" x14ac:dyDescent="0.35">
      <c r="A876" s="38"/>
      <c r="B876" s="38"/>
      <c r="C876" s="38"/>
      <c r="D876" s="38"/>
      <c r="E876" s="489"/>
      <c r="F876" s="489"/>
      <c r="G876" s="489"/>
      <c r="H876" s="489"/>
      <c r="I876" s="489"/>
      <c r="J876" s="489"/>
      <c r="K876" s="489"/>
      <c r="L876" s="38"/>
      <c r="M876" s="472"/>
      <c r="N876" s="472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15.75" customHeight="1" x14ac:dyDescent="0.35">
      <c r="A877" s="38"/>
      <c r="B877" s="38"/>
      <c r="C877" s="38"/>
      <c r="D877" s="38"/>
      <c r="E877" s="489"/>
      <c r="F877" s="489"/>
      <c r="G877" s="489"/>
      <c r="H877" s="489"/>
      <c r="I877" s="489"/>
      <c r="J877" s="489"/>
      <c r="K877" s="489"/>
      <c r="L877" s="38"/>
      <c r="M877" s="472"/>
      <c r="N877" s="472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15.75" customHeight="1" x14ac:dyDescent="0.35">
      <c r="A878" s="38"/>
      <c r="B878" s="38"/>
      <c r="C878" s="38"/>
      <c r="D878" s="38"/>
      <c r="E878" s="489"/>
      <c r="F878" s="489"/>
      <c r="G878" s="489"/>
      <c r="H878" s="489"/>
      <c r="I878" s="489"/>
      <c r="J878" s="489"/>
      <c r="K878" s="489"/>
      <c r="L878" s="38"/>
      <c r="M878" s="472"/>
      <c r="N878" s="472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15.75" customHeight="1" x14ac:dyDescent="0.35">
      <c r="A879" s="38"/>
      <c r="B879" s="38"/>
      <c r="C879" s="38"/>
      <c r="D879" s="38"/>
      <c r="E879" s="489"/>
      <c r="F879" s="489"/>
      <c r="G879" s="489"/>
      <c r="H879" s="489"/>
      <c r="I879" s="489"/>
      <c r="J879" s="489"/>
      <c r="K879" s="489"/>
      <c r="L879" s="38"/>
      <c r="M879" s="472"/>
      <c r="N879" s="472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15.75" customHeight="1" x14ac:dyDescent="0.35">
      <c r="A880" s="38"/>
      <c r="B880" s="38"/>
      <c r="C880" s="38"/>
      <c r="D880" s="38"/>
      <c r="E880" s="489"/>
      <c r="F880" s="489"/>
      <c r="G880" s="489"/>
      <c r="H880" s="489"/>
      <c r="I880" s="489"/>
      <c r="J880" s="489"/>
      <c r="K880" s="489"/>
      <c r="L880" s="38"/>
      <c r="M880" s="472"/>
      <c r="N880" s="472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15.75" customHeight="1" x14ac:dyDescent="0.35">
      <c r="A881" s="38"/>
      <c r="B881" s="38"/>
      <c r="C881" s="38"/>
      <c r="D881" s="38"/>
      <c r="E881" s="489"/>
      <c r="F881" s="489"/>
      <c r="G881" s="489"/>
      <c r="H881" s="489"/>
      <c r="I881" s="489"/>
      <c r="J881" s="489"/>
      <c r="K881" s="489"/>
      <c r="L881" s="38"/>
      <c r="M881" s="472"/>
      <c r="N881" s="472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15.75" customHeight="1" x14ac:dyDescent="0.35">
      <c r="A882" s="38"/>
      <c r="B882" s="38"/>
      <c r="C882" s="38"/>
      <c r="D882" s="38"/>
      <c r="E882" s="489"/>
      <c r="F882" s="489"/>
      <c r="G882" s="489"/>
      <c r="H882" s="489"/>
      <c r="I882" s="489"/>
      <c r="J882" s="489"/>
      <c r="K882" s="489"/>
      <c r="L882" s="38"/>
      <c r="M882" s="472"/>
      <c r="N882" s="472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15.75" customHeight="1" x14ac:dyDescent="0.35">
      <c r="A883" s="38"/>
      <c r="B883" s="38"/>
      <c r="C883" s="38"/>
      <c r="D883" s="38"/>
      <c r="E883" s="489"/>
      <c r="F883" s="489"/>
      <c r="G883" s="489"/>
      <c r="H883" s="489"/>
      <c r="I883" s="489"/>
      <c r="J883" s="489"/>
      <c r="K883" s="489"/>
      <c r="L883" s="38"/>
      <c r="M883" s="472"/>
      <c r="N883" s="472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15.75" customHeight="1" x14ac:dyDescent="0.35">
      <c r="A884" s="38"/>
      <c r="B884" s="38"/>
      <c r="C884" s="38"/>
      <c r="D884" s="38"/>
      <c r="E884" s="489"/>
      <c r="F884" s="489"/>
      <c r="G884" s="489"/>
      <c r="H884" s="489"/>
      <c r="I884" s="489"/>
      <c r="J884" s="489"/>
      <c r="K884" s="489"/>
      <c r="L884" s="38"/>
      <c r="M884" s="472"/>
      <c r="N884" s="472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15.75" customHeight="1" x14ac:dyDescent="0.35">
      <c r="A885" s="38"/>
      <c r="B885" s="38"/>
      <c r="C885" s="38"/>
      <c r="D885" s="38"/>
      <c r="E885" s="489"/>
      <c r="F885" s="489"/>
      <c r="G885" s="489"/>
      <c r="H885" s="489"/>
      <c r="I885" s="489"/>
      <c r="J885" s="489"/>
      <c r="K885" s="489"/>
      <c r="L885" s="38"/>
      <c r="M885" s="472"/>
      <c r="N885" s="472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15.75" customHeight="1" x14ac:dyDescent="0.35">
      <c r="A886" s="38"/>
      <c r="B886" s="38"/>
      <c r="C886" s="38"/>
      <c r="D886" s="38"/>
      <c r="E886" s="489"/>
      <c r="F886" s="489"/>
      <c r="G886" s="489"/>
      <c r="H886" s="489"/>
      <c r="I886" s="489"/>
      <c r="J886" s="489"/>
      <c r="K886" s="489"/>
      <c r="L886" s="38"/>
      <c r="M886" s="472"/>
      <c r="N886" s="472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15.75" customHeight="1" x14ac:dyDescent="0.35">
      <c r="A887" s="38"/>
      <c r="B887" s="38"/>
      <c r="C887" s="38"/>
      <c r="D887" s="38"/>
      <c r="E887" s="489"/>
      <c r="F887" s="489"/>
      <c r="G887" s="489"/>
      <c r="H887" s="489"/>
      <c r="I887" s="489"/>
      <c r="J887" s="489"/>
      <c r="K887" s="489"/>
      <c r="L887" s="38"/>
      <c r="M887" s="472"/>
      <c r="N887" s="472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15.75" customHeight="1" x14ac:dyDescent="0.35">
      <c r="A888" s="38"/>
      <c r="B888" s="38"/>
      <c r="C888" s="38"/>
      <c r="D888" s="38"/>
      <c r="E888" s="489"/>
      <c r="F888" s="489"/>
      <c r="G888" s="489"/>
      <c r="H888" s="489"/>
      <c r="I888" s="489"/>
      <c r="J888" s="489"/>
      <c r="K888" s="489"/>
      <c r="L888" s="38"/>
      <c r="M888" s="472"/>
      <c r="N888" s="472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15.75" customHeight="1" x14ac:dyDescent="0.35">
      <c r="A889" s="38"/>
      <c r="B889" s="38"/>
      <c r="C889" s="38"/>
      <c r="D889" s="38"/>
      <c r="E889" s="489"/>
      <c r="F889" s="489"/>
      <c r="G889" s="489"/>
      <c r="H889" s="489"/>
      <c r="I889" s="489"/>
      <c r="J889" s="489"/>
      <c r="K889" s="489"/>
      <c r="L889" s="38"/>
      <c r="M889" s="472"/>
      <c r="N889" s="472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15.75" customHeight="1" x14ac:dyDescent="0.35">
      <c r="A890" s="38"/>
      <c r="B890" s="38"/>
      <c r="C890" s="38"/>
      <c r="D890" s="38"/>
      <c r="E890" s="489"/>
      <c r="F890" s="489"/>
      <c r="G890" s="489"/>
      <c r="H890" s="489"/>
      <c r="I890" s="489"/>
      <c r="J890" s="489"/>
      <c r="K890" s="489"/>
      <c r="L890" s="38"/>
      <c r="M890" s="472"/>
      <c r="N890" s="472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15.75" customHeight="1" x14ac:dyDescent="0.35">
      <c r="A891" s="38"/>
      <c r="B891" s="38"/>
      <c r="C891" s="38"/>
      <c r="D891" s="38"/>
      <c r="E891" s="489"/>
      <c r="F891" s="489"/>
      <c r="G891" s="489"/>
      <c r="H891" s="489"/>
      <c r="I891" s="489"/>
      <c r="J891" s="489"/>
      <c r="K891" s="489"/>
      <c r="L891" s="38"/>
      <c r="M891" s="472"/>
      <c r="N891" s="472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15.75" customHeight="1" x14ac:dyDescent="0.35">
      <c r="A892" s="38"/>
      <c r="B892" s="38"/>
      <c r="C892" s="38"/>
      <c r="D892" s="38"/>
      <c r="E892" s="489"/>
      <c r="F892" s="489"/>
      <c r="G892" s="489"/>
      <c r="H892" s="489"/>
      <c r="I892" s="489"/>
      <c r="J892" s="489"/>
      <c r="K892" s="489"/>
      <c r="L892" s="38"/>
      <c r="M892" s="472"/>
      <c r="N892" s="472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15.75" customHeight="1" x14ac:dyDescent="0.35">
      <c r="A893" s="38"/>
      <c r="B893" s="38"/>
      <c r="C893" s="38"/>
      <c r="D893" s="38"/>
      <c r="E893" s="489"/>
      <c r="F893" s="489"/>
      <c r="G893" s="489"/>
      <c r="H893" s="489"/>
      <c r="I893" s="489"/>
      <c r="J893" s="489"/>
      <c r="K893" s="489"/>
      <c r="L893" s="38"/>
      <c r="M893" s="472"/>
      <c r="N893" s="472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15.75" customHeight="1" x14ac:dyDescent="0.35">
      <c r="A894" s="38"/>
      <c r="B894" s="38"/>
      <c r="C894" s="38"/>
      <c r="D894" s="38"/>
      <c r="E894" s="489"/>
      <c r="F894" s="489"/>
      <c r="G894" s="489"/>
      <c r="H894" s="489"/>
      <c r="I894" s="489"/>
      <c r="J894" s="489"/>
      <c r="K894" s="489"/>
      <c r="L894" s="38"/>
      <c r="M894" s="472"/>
      <c r="N894" s="472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15.75" customHeight="1" x14ac:dyDescent="0.35">
      <c r="A895" s="38"/>
      <c r="B895" s="38"/>
      <c r="C895" s="38"/>
      <c r="D895" s="38"/>
      <c r="E895" s="489"/>
      <c r="F895" s="489"/>
      <c r="G895" s="489"/>
      <c r="H895" s="489"/>
      <c r="I895" s="489"/>
      <c r="J895" s="489"/>
      <c r="K895" s="489"/>
      <c r="L895" s="38"/>
      <c r="M895" s="472"/>
      <c r="N895" s="472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15.75" customHeight="1" x14ac:dyDescent="0.35">
      <c r="A896" s="38"/>
      <c r="B896" s="38"/>
      <c r="C896" s="38"/>
      <c r="D896" s="38"/>
      <c r="E896" s="489"/>
      <c r="F896" s="489"/>
      <c r="G896" s="489"/>
      <c r="H896" s="489"/>
      <c r="I896" s="489"/>
      <c r="J896" s="489"/>
      <c r="K896" s="489"/>
      <c r="L896" s="38"/>
      <c r="M896" s="472"/>
      <c r="N896" s="472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15.75" customHeight="1" x14ac:dyDescent="0.35">
      <c r="A897" s="38"/>
      <c r="B897" s="38"/>
      <c r="C897" s="38"/>
      <c r="D897" s="38"/>
      <c r="E897" s="489"/>
      <c r="F897" s="489"/>
      <c r="G897" s="489"/>
      <c r="H897" s="489"/>
      <c r="I897" s="489"/>
      <c r="J897" s="489"/>
      <c r="K897" s="489"/>
      <c r="L897" s="38"/>
      <c r="M897" s="472"/>
      <c r="N897" s="472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15.75" customHeight="1" x14ac:dyDescent="0.35">
      <c r="A898" s="38"/>
      <c r="B898" s="38"/>
      <c r="C898" s="38"/>
      <c r="D898" s="38"/>
      <c r="E898" s="489"/>
      <c r="F898" s="489"/>
      <c r="G898" s="489"/>
      <c r="H898" s="489"/>
      <c r="I898" s="489"/>
      <c r="J898" s="489"/>
      <c r="K898" s="489"/>
      <c r="L898" s="38"/>
      <c r="M898" s="472"/>
      <c r="N898" s="472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15.75" customHeight="1" x14ac:dyDescent="0.35">
      <c r="A899" s="38"/>
      <c r="B899" s="38"/>
      <c r="C899" s="38"/>
      <c r="D899" s="38"/>
      <c r="E899" s="489"/>
      <c r="F899" s="489"/>
      <c r="G899" s="489"/>
      <c r="H899" s="489"/>
      <c r="I899" s="489"/>
      <c r="J899" s="489"/>
      <c r="K899" s="489"/>
      <c r="L899" s="38"/>
      <c r="M899" s="472"/>
      <c r="N899" s="472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15.75" customHeight="1" x14ac:dyDescent="0.35">
      <c r="A900" s="38"/>
      <c r="B900" s="38"/>
      <c r="C900" s="38"/>
      <c r="D900" s="38"/>
      <c r="E900" s="489"/>
      <c r="F900" s="489"/>
      <c r="G900" s="489"/>
      <c r="H900" s="489"/>
      <c r="I900" s="489"/>
      <c r="J900" s="489"/>
      <c r="K900" s="489"/>
      <c r="L900" s="38"/>
      <c r="M900" s="472"/>
      <c r="N900" s="472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15.75" customHeight="1" x14ac:dyDescent="0.35">
      <c r="A901" s="38"/>
      <c r="B901" s="38"/>
      <c r="C901" s="38"/>
      <c r="D901" s="38"/>
      <c r="E901" s="489"/>
      <c r="F901" s="489"/>
      <c r="G901" s="489"/>
      <c r="H901" s="489"/>
      <c r="I901" s="489"/>
      <c r="J901" s="489"/>
      <c r="K901" s="489"/>
      <c r="L901" s="38"/>
      <c r="M901" s="472"/>
      <c r="N901" s="472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15.75" customHeight="1" x14ac:dyDescent="0.35">
      <c r="A902" s="38"/>
      <c r="B902" s="38"/>
      <c r="C902" s="38"/>
      <c r="D902" s="38"/>
      <c r="E902" s="489"/>
      <c r="F902" s="489"/>
      <c r="G902" s="489"/>
      <c r="H902" s="489"/>
      <c r="I902" s="489"/>
      <c r="J902" s="489"/>
      <c r="K902" s="489"/>
      <c r="L902" s="38"/>
      <c r="M902" s="472"/>
      <c r="N902" s="472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15.75" customHeight="1" x14ac:dyDescent="0.35">
      <c r="A903" s="38"/>
      <c r="B903" s="38"/>
      <c r="C903" s="38"/>
      <c r="D903" s="38"/>
      <c r="E903" s="489"/>
      <c r="F903" s="489"/>
      <c r="G903" s="489"/>
      <c r="H903" s="489"/>
      <c r="I903" s="489"/>
      <c r="J903" s="489"/>
      <c r="K903" s="489"/>
      <c r="L903" s="38"/>
      <c r="M903" s="472"/>
      <c r="N903" s="472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15.75" customHeight="1" x14ac:dyDescent="0.35">
      <c r="A904" s="38"/>
      <c r="B904" s="38"/>
      <c r="C904" s="38"/>
      <c r="D904" s="38"/>
      <c r="E904" s="489"/>
      <c r="F904" s="489"/>
      <c r="G904" s="489"/>
      <c r="H904" s="489"/>
      <c r="I904" s="489"/>
      <c r="J904" s="489"/>
      <c r="K904" s="489"/>
      <c r="L904" s="38"/>
      <c r="M904" s="472"/>
      <c r="N904" s="472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15.75" customHeight="1" x14ac:dyDescent="0.35">
      <c r="A905" s="38"/>
      <c r="B905" s="38"/>
      <c r="C905" s="38"/>
      <c r="D905" s="38"/>
      <c r="E905" s="489"/>
      <c r="F905" s="489"/>
      <c r="G905" s="489"/>
      <c r="H905" s="489"/>
      <c r="I905" s="489"/>
      <c r="J905" s="489"/>
      <c r="K905" s="489"/>
      <c r="L905" s="38"/>
      <c r="M905" s="472"/>
      <c r="N905" s="472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15.75" customHeight="1" x14ac:dyDescent="0.35">
      <c r="A906" s="38"/>
      <c r="B906" s="38"/>
      <c r="C906" s="38"/>
      <c r="D906" s="38"/>
      <c r="E906" s="489"/>
      <c r="F906" s="489"/>
      <c r="G906" s="489"/>
      <c r="H906" s="489"/>
      <c r="I906" s="489"/>
      <c r="J906" s="489"/>
      <c r="K906" s="489"/>
      <c r="L906" s="38"/>
      <c r="M906" s="472"/>
      <c r="N906" s="472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15.75" customHeight="1" x14ac:dyDescent="0.35">
      <c r="A907" s="38"/>
      <c r="B907" s="38"/>
      <c r="C907" s="38"/>
      <c r="D907" s="38"/>
      <c r="E907" s="489"/>
      <c r="F907" s="489"/>
      <c r="G907" s="489"/>
      <c r="H907" s="489"/>
      <c r="I907" s="489"/>
      <c r="J907" s="489"/>
      <c r="K907" s="489"/>
      <c r="L907" s="38"/>
      <c r="M907" s="472"/>
      <c r="N907" s="472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15.75" customHeight="1" x14ac:dyDescent="0.35">
      <c r="A908" s="38"/>
      <c r="B908" s="38"/>
      <c r="C908" s="38"/>
      <c r="D908" s="38"/>
      <c r="E908" s="489"/>
      <c r="F908" s="489"/>
      <c r="G908" s="489"/>
      <c r="H908" s="489"/>
      <c r="I908" s="489"/>
      <c r="J908" s="489"/>
      <c r="K908" s="489"/>
      <c r="L908" s="38"/>
      <c r="M908" s="472"/>
      <c r="N908" s="472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15.75" customHeight="1" x14ac:dyDescent="0.35">
      <c r="A909" s="38"/>
      <c r="B909" s="38"/>
      <c r="C909" s="38"/>
      <c r="D909" s="38"/>
      <c r="E909" s="489"/>
      <c r="F909" s="489"/>
      <c r="G909" s="489"/>
      <c r="H909" s="489"/>
      <c r="I909" s="489"/>
      <c r="J909" s="489"/>
      <c r="K909" s="489"/>
      <c r="L909" s="38"/>
      <c r="M909" s="472"/>
      <c r="N909" s="472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15.75" customHeight="1" x14ac:dyDescent="0.35">
      <c r="A910" s="38"/>
      <c r="B910" s="38"/>
      <c r="C910" s="38"/>
      <c r="D910" s="38"/>
      <c r="E910" s="489"/>
      <c r="F910" s="489"/>
      <c r="G910" s="489"/>
      <c r="H910" s="489"/>
      <c r="I910" s="489"/>
      <c r="J910" s="489"/>
      <c r="K910" s="489"/>
      <c r="L910" s="38"/>
      <c r="M910" s="472"/>
      <c r="N910" s="472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15.75" customHeight="1" x14ac:dyDescent="0.35">
      <c r="A911" s="38"/>
      <c r="B911" s="38"/>
      <c r="C911" s="38"/>
      <c r="D911" s="38"/>
      <c r="E911" s="489"/>
      <c r="F911" s="489"/>
      <c r="G911" s="489"/>
      <c r="H911" s="489"/>
      <c r="I911" s="489"/>
      <c r="J911" s="489"/>
      <c r="K911" s="489"/>
      <c r="L911" s="38"/>
      <c r="M911" s="472"/>
      <c r="N911" s="472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15.75" customHeight="1" x14ac:dyDescent="0.35">
      <c r="A912" s="38"/>
      <c r="B912" s="38"/>
      <c r="C912" s="38"/>
      <c r="D912" s="38"/>
      <c r="E912" s="489"/>
      <c r="F912" s="489"/>
      <c r="G912" s="489"/>
      <c r="H912" s="489"/>
      <c r="I912" s="489"/>
      <c r="J912" s="489"/>
      <c r="K912" s="489"/>
      <c r="L912" s="38"/>
      <c r="M912" s="472"/>
      <c r="N912" s="472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15.75" customHeight="1" x14ac:dyDescent="0.35">
      <c r="A913" s="38"/>
      <c r="B913" s="38"/>
      <c r="C913" s="38"/>
      <c r="D913" s="38"/>
      <c r="E913" s="489"/>
      <c r="F913" s="489"/>
      <c r="G913" s="489"/>
      <c r="H913" s="489"/>
      <c r="I913" s="489"/>
      <c r="J913" s="489"/>
      <c r="K913" s="489"/>
      <c r="L913" s="38"/>
      <c r="M913" s="472"/>
      <c r="N913" s="472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15.75" customHeight="1" x14ac:dyDescent="0.35">
      <c r="A914" s="38"/>
      <c r="B914" s="38"/>
      <c r="C914" s="38"/>
      <c r="D914" s="38"/>
      <c r="E914" s="489"/>
      <c r="F914" s="489"/>
      <c r="G914" s="489"/>
      <c r="H914" s="489"/>
      <c r="I914" s="489"/>
      <c r="J914" s="489"/>
      <c r="K914" s="489"/>
      <c r="L914" s="38"/>
      <c r="M914" s="472"/>
      <c r="N914" s="472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15.75" customHeight="1" x14ac:dyDescent="0.35">
      <c r="A915" s="38"/>
      <c r="B915" s="38"/>
      <c r="C915" s="38"/>
      <c r="D915" s="38"/>
      <c r="E915" s="489"/>
      <c r="F915" s="489"/>
      <c r="G915" s="489"/>
      <c r="H915" s="489"/>
      <c r="I915" s="489"/>
      <c r="J915" s="489"/>
      <c r="K915" s="489"/>
      <c r="L915" s="38"/>
      <c r="M915" s="472"/>
      <c r="N915" s="472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15.75" customHeight="1" x14ac:dyDescent="0.35">
      <c r="A916" s="38"/>
      <c r="B916" s="38"/>
      <c r="C916" s="38"/>
      <c r="D916" s="38"/>
      <c r="E916" s="489"/>
      <c r="F916" s="489"/>
      <c r="G916" s="489"/>
      <c r="H916" s="489"/>
      <c r="I916" s="489"/>
      <c r="J916" s="489"/>
      <c r="K916" s="489"/>
      <c r="L916" s="38"/>
      <c r="M916" s="472"/>
      <c r="N916" s="472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15.75" customHeight="1" x14ac:dyDescent="0.35">
      <c r="A917" s="38"/>
      <c r="B917" s="38"/>
      <c r="C917" s="38"/>
      <c r="D917" s="38"/>
      <c r="E917" s="489"/>
      <c r="F917" s="489"/>
      <c r="G917" s="489"/>
      <c r="H917" s="489"/>
      <c r="I917" s="489"/>
      <c r="J917" s="489"/>
      <c r="K917" s="489"/>
      <c r="L917" s="38"/>
      <c r="M917" s="472"/>
      <c r="N917" s="472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15.75" customHeight="1" x14ac:dyDescent="0.35">
      <c r="A918" s="38"/>
      <c r="B918" s="38"/>
      <c r="C918" s="38"/>
      <c r="D918" s="38"/>
      <c r="E918" s="489"/>
      <c r="F918" s="489"/>
      <c r="G918" s="489"/>
      <c r="H918" s="489"/>
      <c r="I918" s="489"/>
      <c r="J918" s="489"/>
      <c r="K918" s="489"/>
      <c r="L918" s="38"/>
      <c r="M918" s="472"/>
      <c r="N918" s="472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15.75" customHeight="1" x14ac:dyDescent="0.35">
      <c r="A919" s="38"/>
      <c r="B919" s="38"/>
      <c r="C919" s="38"/>
      <c r="D919" s="38"/>
      <c r="E919" s="489"/>
      <c r="F919" s="489"/>
      <c r="G919" s="489"/>
      <c r="H919" s="489"/>
      <c r="I919" s="489"/>
      <c r="J919" s="489"/>
      <c r="K919" s="489"/>
      <c r="L919" s="38"/>
      <c r="M919" s="472"/>
      <c r="N919" s="472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15.75" customHeight="1" x14ac:dyDescent="0.35">
      <c r="A920" s="38"/>
      <c r="B920" s="38"/>
      <c r="C920" s="38"/>
      <c r="D920" s="38"/>
      <c r="E920" s="489"/>
      <c r="F920" s="489"/>
      <c r="G920" s="489"/>
      <c r="H920" s="489"/>
      <c r="I920" s="489"/>
      <c r="J920" s="489"/>
      <c r="K920" s="489"/>
      <c r="L920" s="38"/>
      <c r="M920" s="472"/>
      <c r="N920" s="472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15.75" customHeight="1" x14ac:dyDescent="0.35">
      <c r="A921" s="38"/>
      <c r="B921" s="38"/>
      <c r="C921" s="38"/>
      <c r="D921" s="38"/>
      <c r="E921" s="489"/>
      <c r="F921" s="489"/>
      <c r="G921" s="489"/>
      <c r="H921" s="489"/>
      <c r="I921" s="489"/>
      <c r="J921" s="489"/>
      <c r="K921" s="489"/>
      <c r="L921" s="38"/>
      <c r="M921" s="472"/>
      <c r="N921" s="472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15.75" customHeight="1" x14ac:dyDescent="0.35">
      <c r="A922" s="38"/>
      <c r="B922" s="38"/>
      <c r="C922" s="38"/>
      <c r="D922" s="38"/>
      <c r="E922" s="489"/>
      <c r="F922" s="489"/>
      <c r="G922" s="489"/>
      <c r="H922" s="489"/>
      <c r="I922" s="489"/>
      <c r="J922" s="489"/>
      <c r="K922" s="489"/>
      <c r="L922" s="38"/>
      <c r="M922" s="472"/>
      <c r="N922" s="472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15.75" customHeight="1" x14ac:dyDescent="0.35">
      <c r="A923" s="38"/>
      <c r="B923" s="38"/>
      <c r="C923" s="38"/>
      <c r="D923" s="38"/>
      <c r="E923" s="489"/>
      <c r="F923" s="489"/>
      <c r="G923" s="489"/>
      <c r="H923" s="489"/>
      <c r="I923" s="489"/>
      <c r="J923" s="489"/>
      <c r="K923" s="489"/>
      <c r="L923" s="38"/>
      <c r="M923" s="472"/>
      <c r="N923" s="472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15.75" customHeight="1" x14ac:dyDescent="0.35">
      <c r="A924" s="38"/>
      <c r="B924" s="38"/>
      <c r="C924" s="38"/>
      <c r="D924" s="38"/>
      <c r="E924" s="489"/>
      <c r="F924" s="489"/>
      <c r="G924" s="489"/>
      <c r="H924" s="489"/>
      <c r="I924" s="489"/>
      <c r="J924" s="489"/>
      <c r="K924" s="489"/>
      <c r="L924" s="38"/>
      <c r="M924" s="472"/>
      <c r="N924" s="472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15.75" customHeight="1" x14ac:dyDescent="0.35">
      <c r="A925" s="38"/>
      <c r="B925" s="38"/>
      <c r="C925" s="38"/>
      <c r="D925" s="38"/>
      <c r="E925" s="489"/>
      <c r="F925" s="489"/>
      <c r="G925" s="489"/>
      <c r="H925" s="489"/>
      <c r="I925" s="489"/>
      <c r="J925" s="489"/>
      <c r="K925" s="489"/>
      <c r="L925" s="38"/>
      <c r="M925" s="472"/>
      <c r="N925" s="472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15.75" customHeight="1" x14ac:dyDescent="0.35">
      <c r="A926" s="38"/>
      <c r="B926" s="38"/>
      <c r="C926" s="38"/>
      <c r="D926" s="38"/>
      <c r="E926" s="489"/>
      <c r="F926" s="489"/>
      <c r="G926" s="489"/>
      <c r="H926" s="489"/>
      <c r="I926" s="489"/>
      <c r="J926" s="489"/>
      <c r="K926" s="489"/>
      <c r="L926" s="38"/>
      <c r="M926" s="472"/>
      <c r="N926" s="472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15.75" customHeight="1" x14ac:dyDescent="0.35">
      <c r="A927" s="38"/>
      <c r="B927" s="38"/>
      <c r="C927" s="38"/>
      <c r="D927" s="38"/>
      <c r="E927" s="489"/>
      <c r="F927" s="489"/>
      <c r="G927" s="489"/>
      <c r="H927" s="489"/>
      <c r="I927" s="489"/>
      <c r="J927" s="489"/>
      <c r="K927" s="489"/>
      <c r="L927" s="38"/>
      <c r="M927" s="472"/>
      <c r="N927" s="472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15.75" customHeight="1" x14ac:dyDescent="0.35">
      <c r="A928" s="38"/>
      <c r="B928" s="38"/>
      <c r="C928" s="38"/>
      <c r="D928" s="38"/>
      <c r="E928" s="489"/>
      <c r="F928" s="489"/>
      <c r="G928" s="489"/>
      <c r="H928" s="489"/>
      <c r="I928" s="489"/>
      <c r="J928" s="489"/>
      <c r="K928" s="489"/>
      <c r="L928" s="38"/>
      <c r="M928" s="472"/>
      <c r="N928" s="472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15.75" customHeight="1" x14ac:dyDescent="0.35">
      <c r="A929" s="38"/>
      <c r="B929" s="38"/>
      <c r="C929" s="38"/>
      <c r="D929" s="38"/>
      <c r="E929" s="489"/>
      <c r="F929" s="489"/>
      <c r="G929" s="489"/>
      <c r="H929" s="489"/>
      <c r="I929" s="489"/>
      <c r="J929" s="489"/>
      <c r="K929" s="489"/>
      <c r="L929" s="38"/>
      <c r="M929" s="472"/>
      <c r="N929" s="472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15.75" customHeight="1" x14ac:dyDescent="0.35">
      <c r="A930" s="38"/>
      <c r="B930" s="38"/>
      <c r="C930" s="38"/>
      <c r="D930" s="38"/>
      <c r="E930" s="489"/>
      <c r="F930" s="489"/>
      <c r="G930" s="489"/>
      <c r="H930" s="489"/>
      <c r="I930" s="489"/>
      <c r="J930" s="489"/>
      <c r="K930" s="489"/>
      <c r="L930" s="38"/>
      <c r="M930" s="472"/>
      <c r="N930" s="472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15.75" customHeight="1" x14ac:dyDescent="0.35">
      <c r="A931" s="38"/>
      <c r="B931" s="38"/>
      <c r="C931" s="38"/>
      <c r="D931" s="38"/>
      <c r="E931" s="489"/>
      <c r="F931" s="489"/>
      <c r="G931" s="489"/>
      <c r="H931" s="489"/>
      <c r="I931" s="489"/>
      <c r="J931" s="489"/>
      <c r="K931" s="489"/>
      <c r="L931" s="38"/>
      <c r="M931" s="472"/>
      <c r="N931" s="472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ht="15.75" customHeight="1" x14ac:dyDescent="0.35">
      <c r="A932" s="38"/>
      <c r="B932" s="38"/>
      <c r="C932" s="38"/>
      <c r="D932" s="38"/>
      <c r="E932" s="489"/>
      <c r="F932" s="489"/>
      <c r="G932" s="489"/>
      <c r="H932" s="489"/>
      <c r="I932" s="489"/>
      <c r="J932" s="489"/>
      <c r="K932" s="489"/>
      <c r="L932" s="38"/>
      <c r="M932" s="472"/>
      <c r="N932" s="472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ht="15.75" customHeight="1" x14ac:dyDescent="0.35">
      <c r="A933" s="38"/>
      <c r="B933" s="38"/>
      <c r="C933" s="38"/>
      <c r="D933" s="38"/>
      <c r="E933" s="489"/>
      <c r="F933" s="489"/>
      <c r="G933" s="489"/>
      <c r="H933" s="489"/>
      <c r="I933" s="489"/>
      <c r="J933" s="489"/>
      <c r="K933" s="489"/>
      <c r="L933" s="38"/>
      <c r="M933" s="472"/>
      <c r="N933" s="472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ht="15.75" customHeight="1" x14ac:dyDescent="0.35">
      <c r="A934" s="38"/>
      <c r="B934" s="38"/>
      <c r="C934" s="38"/>
      <c r="D934" s="38"/>
      <c r="E934" s="489"/>
      <c r="F934" s="489"/>
      <c r="G934" s="489"/>
      <c r="H934" s="489"/>
      <c r="I934" s="489"/>
      <c r="J934" s="489"/>
      <c r="K934" s="489"/>
      <c r="L934" s="38"/>
      <c r="M934" s="472"/>
      <c r="N934" s="472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ht="15.75" customHeight="1" x14ac:dyDescent="0.35">
      <c r="A935" s="38"/>
      <c r="B935" s="38"/>
      <c r="C935" s="38"/>
      <c r="D935" s="38"/>
      <c r="E935" s="489"/>
      <c r="F935" s="489"/>
      <c r="G935" s="489"/>
      <c r="H935" s="489"/>
      <c r="I935" s="489"/>
      <c r="J935" s="489"/>
      <c r="K935" s="489"/>
      <c r="L935" s="38"/>
      <c r="M935" s="472"/>
      <c r="N935" s="472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ht="15.75" customHeight="1" x14ac:dyDescent="0.35">
      <c r="A936" s="38"/>
      <c r="B936" s="38"/>
      <c r="C936" s="38"/>
      <c r="D936" s="38"/>
      <c r="E936" s="489"/>
      <c r="F936" s="489"/>
      <c r="G936" s="489"/>
      <c r="H936" s="489"/>
      <c r="I936" s="489"/>
      <c r="J936" s="489"/>
      <c r="K936" s="489"/>
      <c r="L936" s="38"/>
      <c r="M936" s="472"/>
      <c r="N936" s="472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ht="15.75" customHeight="1" x14ac:dyDescent="0.35">
      <c r="A937" s="38"/>
      <c r="B937" s="38"/>
      <c r="C937" s="38"/>
      <c r="D937" s="38"/>
      <c r="E937" s="489"/>
      <c r="F937" s="489"/>
      <c r="G937" s="489"/>
      <c r="H937" s="489"/>
      <c r="I937" s="489"/>
      <c r="J937" s="489"/>
      <c r="K937" s="489"/>
      <c r="L937" s="38"/>
      <c r="M937" s="472"/>
      <c r="N937" s="472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ht="15.75" customHeight="1" x14ac:dyDescent="0.35">
      <c r="A938" s="38"/>
      <c r="B938" s="38"/>
      <c r="C938" s="38"/>
      <c r="D938" s="38"/>
      <c r="E938" s="489"/>
      <c r="F938" s="489"/>
      <c r="G938" s="489"/>
      <c r="H938" s="489"/>
      <c r="I938" s="489"/>
      <c r="J938" s="489"/>
      <c r="K938" s="489"/>
      <c r="L938" s="38"/>
      <c r="M938" s="472"/>
      <c r="N938" s="472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ht="15.75" customHeight="1" x14ac:dyDescent="0.35">
      <c r="A939" s="38"/>
      <c r="B939" s="38"/>
      <c r="C939" s="38"/>
      <c r="D939" s="38"/>
      <c r="E939" s="489"/>
      <c r="F939" s="489"/>
      <c r="G939" s="489"/>
      <c r="H939" s="489"/>
      <c r="I939" s="489"/>
      <c r="J939" s="489"/>
      <c r="K939" s="489"/>
      <c r="L939" s="38"/>
      <c r="M939" s="472"/>
      <c r="N939" s="472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ht="15.75" customHeight="1" x14ac:dyDescent="0.35">
      <c r="A940" s="38"/>
      <c r="B940" s="38"/>
      <c r="C940" s="38"/>
      <c r="D940" s="38"/>
      <c r="E940" s="489"/>
      <c r="F940" s="489"/>
      <c r="G940" s="489"/>
      <c r="H940" s="489"/>
      <c r="I940" s="489"/>
      <c r="J940" s="489"/>
      <c r="K940" s="489"/>
      <c r="L940" s="38"/>
      <c r="M940" s="472"/>
      <c r="N940" s="472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ht="15.75" customHeight="1" x14ac:dyDescent="0.35">
      <c r="A941" s="38"/>
      <c r="B941" s="38"/>
      <c r="C941" s="38"/>
      <c r="D941" s="38"/>
      <c r="E941" s="489"/>
      <c r="F941" s="489"/>
      <c r="G941" s="489"/>
      <c r="H941" s="489"/>
      <c r="I941" s="489"/>
      <c r="J941" s="489"/>
      <c r="K941" s="489"/>
      <c r="L941" s="38"/>
      <c r="M941" s="472"/>
      <c r="N941" s="472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ht="15.75" customHeight="1" x14ac:dyDescent="0.35">
      <c r="A942" s="38"/>
      <c r="B942" s="38"/>
      <c r="C942" s="38"/>
      <c r="D942" s="38"/>
      <c r="E942" s="489"/>
      <c r="F942" s="489"/>
      <c r="G942" s="489"/>
      <c r="H942" s="489"/>
      <c r="I942" s="489"/>
      <c r="J942" s="489"/>
      <c r="K942" s="489"/>
      <c r="L942" s="38"/>
      <c r="M942" s="472"/>
      <c r="N942" s="472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ht="15.75" customHeight="1" x14ac:dyDescent="0.35">
      <c r="A943" s="38"/>
      <c r="B943" s="38"/>
      <c r="C943" s="38"/>
      <c r="D943" s="38"/>
      <c r="E943" s="489"/>
      <c r="F943" s="489"/>
      <c r="G943" s="489"/>
      <c r="H943" s="489"/>
      <c r="I943" s="489"/>
      <c r="J943" s="489"/>
      <c r="K943" s="489"/>
      <c r="L943" s="38"/>
      <c r="M943" s="472"/>
      <c r="N943" s="472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ht="15.75" customHeight="1" x14ac:dyDescent="0.35">
      <c r="A944" s="38"/>
      <c r="B944" s="38"/>
      <c r="C944" s="38"/>
      <c r="D944" s="38"/>
      <c r="E944" s="489"/>
      <c r="F944" s="489"/>
      <c r="G944" s="489"/>
      <c r="H944" s="489"/>
      <c r="I944" s="489"/>
      <c r="J944" s="489"/>
      <c r="K944" s="489"/>
      <c r="L944" s="38"/>
      <c r="M944" s="472"/>
      <c r="N944" s="472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ht="15.75" customHeight="1" x14ac:dyDescent="0.35">
      <c r="A945" s="38"/>
      <c r="B945" s="38"/>
      <c r="C945" s="38"/>
      <c r="D945" s="38"/>
      <c r="E945" s="489"/>
      <c r="F945" s="489"/>
      <c r="G945" s="489"/>
      <c r="H945" s="489"/>
      <c r="I945" s="489"/>
      <c r="J945" s="489"/>
      <c r="K945" s="489"/>
      <c r="L945" s="38"/>
      <c r="M945" s="472"/>
      <c r="N945" s="472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ht="15.75" customHeight="1" x14ac:dyDescent="0.35">
      <c r="A946" s="38"/>
      <c r="B946" s="38"/>
      <c r="C946" s="38"/>
      <c r="D946" s="38"/>
      <c r="E946" s="489"/>
      <c r="F946" s="489"/>
      <c r="G946" s="489"/>
      <c r="H946" s="489"/>
      <c r="I946" s="489"/>
      <c r="J946" s="489"/>
      <c r="K946" s="489"/>
      <c r="L946" s="38"/>
      <c r="M946" s="472"/>
      <c r="N946" s="472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ht="15.75" customHeight="1" x14ac:dyDescent="0.35">
      <c r="A947" s="38"/>
      <c r="B947" s="38"/>
      <c r="C947" s="38"/>
      <c r="D947" s="38"/>
      <c r="E947" s="489"/>
      <c r="F947" s="489"/>
      <c r="G947" s="489"/>
      <c r="H947" s="489"/>
      <c r="I947" s="489"/>
      <c r="J947" s="489"/>
      <c r="K947" s="489"/>
      <c r="L947" s="38"/>
      <c r="M947" s="472"/>
      <c r="N947" s="472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ht="15.75" customHeight="1" x14ac:dyDescent="0.35">
      <c r="A948" s="38"/>
      <c r="B948" s="38"/>
      <c r="C948" s="38"/>
      <c r="D948" s="38"/>
      <c r="E948" s="489"/>
      <c r="F948" s="489"/>
      <c r="G948" s="489"/>
      <c r="H948" s="489"/>
      <c r="I948" s="489"/>
      <c r="J948" s="489"/>
      <c r="K948" s="489"/>
      <c r="L948" s="38"/>
      <c r="M948" s="472"/>
      <c r="N948" s="472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ht="15.75" customHeight="1" x14ac:dyDescent="0.35">
      <c r="A949" s="38"/>
      <c r="B949" s="38"/>
      <c r="C949" s="38"/>
      <c r="D949" s="38"/>
      <c r="E949" s="489"/>
      <c r="F949" s="489"/>
      <c r="G949" s="489"/>
      <c r="H949" s="489"/>
      <c r="I949" s="489"/>
      <c r="J949" s="489"/>
      <c r="K949" s="489"/>
      <c r="L949" s="38"/>
      <c r="M949" s="472"/>
      <c r="N949" s="472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ht="15.75" customHeight="1" x14ac:dyDescent="0.35">
      <c r="A950" s="38"/>
      <c r="B950" s="38"/>
      <c r="C950" s="38"/>
      <c r="D950" s="38"/>
      <c r="E950" s="489"/>
      <c r="F950" s="489"/>
      <c r="G950" s="489"/>
      <c r="H950" s="489"/>
      <c r="I950" s="489"/>
      <c r="J950" s="489"/>
      <c r="K950" s="489"/>
      <c r="L950" s="38"/>
      <c r="M950" s="472"/>
      <c r="N950" s="472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ht="15.75" customHeight="1" x14ac:dyDescent="0.35">
      <c r="A951" s="38"/>
      <c r="B951" s="38"/>
      <c r="C951" s="38"/>
      <c r="D951" s="38"/>
      <c r="E951" s="489"/>
      <c r="F951" s="489"/>
      <c r="G951" s="489"/>
      <c r="H951" s="489"/>
      <c r="I951" s="489"/>
      <c r="J951" s="489"/>
      <c r="K951" s="489"/>
      <c r="L951" s="38"/>
      <c r="M951" s="472"/>
      <c r="N951" s="472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ht="15.75" customHeight="1" x14ac:dyDescent="0.35">
      <c r="A952" s="38"/>
      <c r="B952" s="38"/>
      <c r="C952" s="38"/>
      <c r="D952" s="38"/>
      <c r="E952" s="489"/>
      <c r="F952" s="489"/>
      <c r="G952" s="489"/>
      <c r="H952" s="489"/>
      <c r="I952" s="489"/>
      <c r="J952" s="489"/>
      <c r="K952" s="489"/>
      <c r="L952" s="38"/>
      <c r="M952" s="472"/>
      <c r="N952" s="472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ht="15.75" customHeight="1" x14ac:dyDescent="0.35">
      <c r="A953" s="38"/>
      <c r="B953" s="38"/>
      <c r="C953" s="38"/>
      <c r="D953" s="38"/>
      <c r="E953" s="489"/>
      <c r="F953" s="489"/>
      <c r="G953" s="489"/>
      <c r="H953" s="489"/>
      <c r="I953" s="489"/>
      <c r="J953" s="489"/>
      <c r="K953" s="489"/>
      <c r="L953" s="38"/>
      <c r="M953" s="472"/>
      <c r="N953" s="472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ht="15.75" customHeight="1" x14ac:dyDescent="0.35">
      <c r="A954" s="38"/>
      <c r="B954" s="38"/>
      <c r="C954" s="38"/>
      <c r="D954" s="38"/>
      <c r="E954" s="489"/>
      <c r="F954" s="489"/>
      <c r="G954" s="489"/>
      <c r="H954" s="489"/>
      <c r="I954" s="489"/>
      <c r="J954" s="489"/>
      <c r="K954" s="489"/>
      <c r="L954" s="38"/>
      <c r="M954" s="472"/>
      <c r="N954" s="472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ht="15.75" customHeight="1" x14ac:dyDescent="0.35">
      <c r="A955" s="38"/>
      <c r="B955" s="38"/>
      <c r="C955" s="38"/>
      <c r="D955" s="38"/>
      <c r="E955" s="489"/>
      <c r="F955" s="489"/>
      <c r="G955" s="489"/>
      <c r="H955" s="489"/>
      <c r="I955" s="489"/>
      <c r="J955" s="489"/>
      <c r="K955" s="489"/>
      <c r="L955" s="38"/>
      <c r="M955" s="472"/>
      <c r="N955" s="472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ht="15.75" customHeight="1" x14ac:dyDescent="0.35">
      <c r="A956" s="38"/>
      <c r="B956" s="38"/>
      <c r="C956" s="38"/>
      <c r="D956" s="38"/>
      <c r="E956" s="489"/>
      <c r="F956" s="489"/>
      <c r="G956" s="489"/>
      <c r="H956" s="489"/>
      <c r="I956" s="489"/>
      <c r="J956" s="489"/>
      <c r="K956" s="489"/>
      <c r="L956" s="38"/>
      <c r="M956" s="472"/>
      <c r="N956" s="472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ht="15.75" customHeight="1" x14ac:dyDescent="0.35">
      <c r="A957" s="38"/>
      <c r="B957" s="38"/>
      <c r="C957" s="38"/>
      <c r="D957" s="38"/>
      <c r="E957" s="489"/>
      <c r="F957" s="489"/>
      <c r="G957" s="489"/>
      <c r="H957" s="489"/>
      <c r="I957" s="489"/>
      <c r="J957" s="489"/>
      <c r="K957" s="489"/>
      <c r="L957" s="38"/>
      <c r="M957" s="472"/>
      <c r="N957" s="472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ht="15.75" customHeight="1" x14ac:dyDescent="0.35">
      <c r="A958" s="38"/>
      <c r="B958" s="38"/>
      <c r="C958" s="38"/>
      <c r="D958" s="38"/>
      <c r="E958" s="489"/>
      <c r="F958" s="489"/>
      <c r="G958" s="489"/>
      <c r="H958" s="489"/>
      <c r="I958" s="489"/>
      <c r="J958" s="489"/>
      <c r="K958" s="489"/>
      <c r="L958" s="38"/>
      <c r="M958" s="472"/>
      <c r="N958" s="472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ht="15.75" customHeight="1" x14ac:dyDescent="0.35">
      <c r="A959" s="38"/>
      <c r="B959" s="38"/>
      <c r="C959" s="38"/>
      <c r="D959" s="38"/>
      <c r="E959" s="489"/>
      <c r="F959" s="489"/>
      <c r="G959" s="489"/>
      <c r="H959" s="489"/>
      <c r="I959" s="489"/>
      <c r="J959" s="489"/>
      <c r="K959" s="489"/>
      <c r="L959" s="38"/>
      <c r="M959" s="472"/>
      <c r="N959" s="472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ht="15.75" customHeight="1" x14ac:dyDescent="0.35">
      <c r="A960" s="38"/>
      <c r="B960" s="38"/>
      <c r="C960" s="38"/>
      <c r="D960" s="38"/>
      <c r="E960" s="489"/>
      <c r="F960" s="489"/>
      <c r="G960" s="489"/>
      <c r="H960" s="489"/>
      <c r="I960" s="489"/>
      <c r="J960" s="489"/>
      <c r="K960" s="489"/>
      <c r="L960" s="38"/>
      <c r="M960" s="472"/>
      <c r="N960" s="472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ht="15.75" customHeight="1" x14ac:dyDescent="0.35">
      <c r="A961" s="38"/>
      <c r="B961" s="38"/>
      <c r="C961" s="38"/>
      <c r="D961" s="38"/>
      <c r="E961" s="489"/>
      <c r="F961" s="489"/>
      <c r="G961" s="489"/>
      <c r="H961" s="489"/>
      <c r="I961" s="489"/>
      <c r="J961" s="489"/>
      <c r="K961" s="489"/>
      <c r="L961" s="38"/>
      <c r="M961" s="472"/>
      <c r="N961" s="472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ht="15.75" customHeight="1" x14ac:dyDescent="0.35">
      <c r="A962" s="38"/>
      <c r="B962" s="38"/>
      <c r="C962" s="38"/>
      <c r="D962" s="38"/>
      <c r="E962" s="489"/>
      <c r="F962" s="489"/>
      <c r="G962" s="489"/>
      <c r="H962" s="489"/>
      <c r="I962" s="489"/>
      <c r="J962" s="489"/>
      <c r="K962" s="489"/>
      <c r="L962" s="38"/>
      <c r="M962" s="472"/>
      <c r="N962" s="472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ht="15.75" customHeight="1" x14ac:dyDescent="0.35">
      <c r="A963" s="38"/>
      <c r="B963" s="38"/>
      <c r="C963" s="38"/>
      <c r="D963" s="38"/>
      <c r="E963" s="489"/>
      <c r="F963" s="489"/>
      <c r="G963" s="489"/>
      <c r="H963" s="489"/>
      <c r="I963" s="489"/>
      <c r="J963" s="489"/>
      <c r="K963" s="489"/>
      <c r="L963" s="38"/>
      <c r="M963" s="472"/>
      <c r="N963" s="472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ht="15.75" customHeight="1" x14ac:dyDescent="0.35">
      <c r="A964" s="38"/>
      <c r="B964" s="38"/>
      <c r="C964" s="38"/>
      <c r="D964" s="38"/>
      <c r="E964" s="489"/>
      <c r="F964" s="489"/>
      <c r="G964" s="489"/>
      <c r="H964" s="489"/>
      <c r="I964" s="489"/>
      <c r="J964" s="489"/>
      <c r="K964" s="489"/>
      <c r="L964" s="38"/>
      <c r="M964" s="472"/>
      <c r="N964" s="472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ht="15.75" customHeight="1" x14ac:dyDescent="0.35">
      <c r="A965" s="38"/>
      <c r="B965" s="38"/>
      <c r="C965" s="38"/>
      <c r="D965" s="38"/>
      <c r="E965" s="489"/>
      <c r="F965" s="489"/>
      <c r="G965" s="489"/>
      <c r="H965" s="489"/>
      <c r="I965" s="489"/>
      <c r="J965" s="489"/>
      <c r="K965" s="489"/>
      <c r="L965" s="38"/>
      <c r="M965" s="472"/>
      <c r="N965" s="472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ht="15.75" customHeight="1" x14ac:dyDescent="0.35">
      <c r="A966" s="38"/>
      <c r="B966" s="38"/>
      <c r="C966" s="38"/>
      <c r="D966" s="38"/>
      <c r="E966" s="489"/>
      <c r="F966" s="489"/>
      <c r="G966" s="489"/>
      <c r="H966" s="489"/>
      <c r="I966" s="489"/>
      <c r="J966" s="489"/>
      <c r="K966" s="489"/>
      <c r="L966" s="38"/>
      <c r="M966" s="472"/>
      <c r="N966" s="472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ht="15.75" customHeight="1" x14ac:dyDescent="0.35">
      <c r="A967" s="38"/>
      <c r="B967" s="38"/>
      <c r="C967" s="38"/>
      <c r="D967" s="38"/>
      <c r="E967" s="489"/>
      <c r="F967" s="489"/>
      <c r="G967" s="489"/>
      <c r="H967" s="489"/>
      <c r="I967" s="489"/>
      <c r="J967" s="489"/>
      <c r="K967" s="489"/>
      <c r="L967" s="38"/>
      <c r="M967" s="472"/>
      <c r="N967" s="472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ht="15.75" customHeight="1" x14ac:dyDescent="0.35">
      <c r="A968" s="38"/>
      <c r="B968" s="38"/>
      <c r="C968" s="38"/>
      <c r="D968" s="38"/>
      <c r="E968" s="489"/>
      <c r="F968" s="489"/>
      <c r="G968" s="489"/>
      <c r="H968" s="489"/>
      <c r="I968" s="489"/>
      <c r="J968" s="489"/>
      <c r="K968" s="489"/>
      <c r="L968" s="38"/>
      <c r="M968" s="472"/>
      <c r="N968" s="472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ht="15.75" customHeight="1" x14ac:dyDescent="0.35">
      <c r="A969" s="38"/>
      <c r="B969" s="38"/>
      <c r="C969" s="38"/>
      <c r="D969" s="38"/>
      <c r="E969" s="489"/>
      <c r="F969" s="489"/>
      <c r="G969" s="489"/>
      <c r="H969" s="489"/>
      <c r="I969" s="489"/>
      <c r="J969" s="489"/>
      <c r="K969" s="489"/>
      <c r="L969" s="38"/>
      <c r="M969" s="472"/>
      <c r="N969" s="472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ht="15.75" customHeight="1" x14ac:dyDescent="0.35">
      <c r="A970" s="38"/>
      <c r="B970" s="38"/>
      <c r="C970" s="38"/>
      <c r="D970" s="38"/>
      <c r="E970" s="489"/>
      <c r="F970" s="489"/>
      <c r="G970" s="489"/>
      <c r="H970" s="489"/>
      <c r="I970" s="489"/>
      <c r="J970" s="489"/>
      <c r="K970" s="489"/>
      <c r="L970" s="38"/>
      <c r="M970" s="472"/>
      <c r="N970" s="472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ht="15.75" customHeight="1" x14ac:dyDescent="0.35">
      <c r="A971" s="38"/>
      <c r="B971" s="38"/>
      <c r="C971" s="38"/>
      <c r="D971" s="38"/>
      <c r="E971" s="489"/>
      <c r="F971" s="489"/>
      <c r="G971" s="489"/>
      <c r="H971" s="489"/>
      <c r="I971" s="489"/>
      <c r="J971" s="489"/>
      <c r="K971" s="489"/>
      <c r="L971" s="38"/>
      <c r="M971" s="472"/>
      <c r="N971" s="472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ht="15.75" customHeight="1" x14ac:dyDescent="0.35">
      <c r="A972" s="38"/>
      <c r="B972" s="38"/>
      <c r="C972" s="38"/>
      <c r="D972" s="38"/>
      <c r="E972" s="489"/>
      <c r="F972" s="489"/>
      <c r="G972" s="489"/>
      <c r="H972" s="489"/>
      <c r="I972" s="489"/>
      <c r="J972" s="489"/>
      <c r="K972" s="489"/>
      <c r="L972" s="38"/>
      <c r="M972" s="472"/>
      <c r="N972" s="472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ht="15.75" customHeight="1" x14ac:dyDescent="0.35">
      <c r="A973" s="38"/>
      <c r="B973" s="38"/>
      <c r="C973" s="38"/>
      <c r="D973" s="38"/>
      <c r="E973" s="489"/>
      <c r="F973" s="489"/>
      <c r="G973" s="489"/>
      <c r="H973" s="489"/>
      <c r="I973" s="489"/>
      <c r="J973" s="489"/>
      <c r="K973" s="489"/>
      <c r="L973" s="38"/>
      <c r="M973" s="472"/>
      <c r="N973" s="472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ht="15.75" customHeight="1" x14ac:dyDescent="0.35">
      <c r="A974" s="38"/>
      <c r="B974" s="38"/>
      <c r="C974" s="38"/>
      <c r="D974" s="38"/>
      <c r="E974" s="489"/>
      <c r="F974" s="489"/>
      <c r="G974" s="489"/>
      <c r="H974" s="489"/>
      <c r="I974" s="489"/>
      <c r="J974" s="489"/>
      <c r="K974" s="489"/>
      <c r="L974" s="38"/>
      <c r="M974" s="472"/>
      <c r="N974" s="472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ht="15.75" customHeight="1" x14ac:dyDescent="0.35">
      <c r="A975" s="38"/>
      <c r="B975" s="38"/>
      <c r="C975" s="38"/>
      <c r="D975" s="38"/>
      <c r="E975" s="489"/>
      <c r="F975" s="489"/>
      <c r="G975" s="489"/>
      <c r="H975" s="489"/>
      <c r="I975" s="489"/>
      <c r="J975" s="489"/>
      <c r="K975" s="489"/>
      <c r="L975" s="38"/>
      <c r="M975" s="472"/>
      <c r="N975" s="472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ht="15.75" customHeight="1" x14ac:dyDescent="0.35">
      <c r="A976" s="38"/>
      <c r="B976" s="38"/>
      <c r="C976" s="38"/>
      <c r="D976" s="38"/>
      <c r="E976" s="489"/>
      <c r="F976" s="489"/>
      <c r="G976" s="489"/>
      <c r="H976" s="489"/>
      <c r="I976" s="489"/>
      <c r="J976" s="489"/>
      <c r="K976" s="489"/>
      <c r="L976" s="38"/>
      <c r="M976" s="472"/>
      <c r="N976" s="472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ht="15.75" customHeight="1" x14ac:dyDescent="0.35">
      <c r="A977" s="38"/>
      <c r="B977" s="38"/>
      <c r="C977" s="38"/>
      <c r="D977" s="38"/>
      <c r="E977" s="489"/>
      <c r="F977" s="489"/>
      <c r="G977" s="489"/>
      <c r="H977" s="489"/>
      <c r="I977" s="489"/>
      <c r="J977" s="489"/>
      <c r="K977" s="489"/>
      <c r="L977" s="38"/>
      <c r="M977" s="472"/>
      <c r="N977" s="472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ht="15.75" customHeight="1" x14ac:dyDescent="0.35">
      <c r="A978" s="38"/>
      <c r="B978" s="38"/>
      <c r="C978" s="38"/>
      <c r="D978" s="38"/>
      <c r="E978" s="489"/>
      <c r="F978" s="489"/>
      <c r="G978" s="489"/>
      <c r="H978" s="489"/>
      <c r="I978" s="489"/>
      <c r="J978" s="489"/>
      <c r="K978" s="489"/>
      <c r="L978" s="38"/>
      <c r="M978" s="472"/>
      <c r="N978" s="472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ht="15.75" customHeight="1" x14ac:dyDescent="0.35">
      <c r="A979" s="38"/>
      <c r="B979" s="38"/>
      <c r="C979" s="38"/>
      <c r="D979" s="38"/>
      <c r="E979" s="489"/>
      <c r="F979" s="489"/>
      <c r="G979" s="489"/>
      <c r="H979" s="489"/>
      <c r="I979" s="489"/>
      <c r="J979" s="489"/>
      <c r="K979" s="489"/>
      <c r="L979" s="38"/>
      <c r="M979" s="472"/>
      <c r="N979" s="472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ht="15.75" customHeight="1" x14ac:dyDescent="0.35">
      <c r="A980" s="38"/>
      <c r="B980" s="38"/>
      <c r="C980" s="38"/>
      <c r="D980" s="38"/>
      <c r="E980" s="489"/>
      <c r="F980" s="489"/>
      <c r="G980" s="489"/>
      <c r="H980" s="489"/>
      <c r="I980" s="489"/>
      <c r="J980" s="489"/>
      <c r="K980" s="489"/>
      <c r="L980" s="38"/>
      <c r="M980" s="472"/>
      <c r="N980" s="472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ht="15.75" customHeight="1" x14ac:dyDescent="0.35">
      <c r="A981" s="38"/>
      <c r="B981" s="38"/>
      <c r="C981" s="38"/>
      <c r="D981" s="38"/>
      <c r="E981" s="489"/>
      <c r="F981" s="489"/>
      <c r="G981" s="489"/>
      <c r="H981" s="489"/>
      <c r="I981" s="489"/>
      <c r="J981" s="489"/>
      <c r="K981" s="489"/>
      <c r="L981" s="38"/>
      <c r="M981" s="472"/>
      <c r="N981" s="472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ht="15.75" customHeight="1" x14ac:dyDescent="0.35">
      <c r="A982" s="38"/>
      <c r="B982" s="38"/>
      <c r="C982" s="38"/>
      <c r="D982" s="38"/>
      <c r="E982" s="489"/>
      <c r="F982" s="489"/>
      <c r="G982" s="489"/>
      <c r="H982" s="489"/>
      <c r="I982" s="489"/>
      <c r="J982" s="489"/>
      <c r="K982" s="489"/>
      <c r="L982" s="38"/>
      <c r="M982" s="472"/>
      <c r="N982" s="472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ht="15.75" customHeight="1" x14ac:dyDescent="0.35">
      <c r="A983" s="38"/>
      <c r="B983" s="38"/>
      <c r="C983" s="38"/>
      <c r="D983" s="38"/>
      <c r="E983" s="489"/>
      <c r="F983" s="489"/>
      <c r="G983" s="489"/>
      <c r="H983" s="489"/>
      <c r="I983" s="489"/>
      <c r="J983" s="489"/>
      <c r="K983" s="489"/>
      <c r="L983" s="38"/>
      <c r="M983" s="472"/>
      <c r="N983" s="472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ht="15.75" customHeight="1" x14ac:dyDescent="0.35">
      <c r="A984" s="38"/>
      <c r="B984" s="38"/>
      <c r="C984" s="38"/>
      <c r="D984" s="38"/>
      <c r="E984" s="489"/>
      <c r="F984" s="489"/>
      <c r="G984" s="489"/>
      <c r="H984" s="489"/>
      <c r="I984" s="489"/>
      <c r="J984" s="489"/>
      <c r="K984" s="489"/>
      <c r="L984" s="38"/>
      <c r="M984" s="472"/>
      <c r="N984" s="472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ht="15.75" customHeight="1" x14ac:dyDescent="0.35">
      <c r="A985" s="38"/>
      <c r="B985" s="38"/>
      <c r="C985" s="38"/>
      <c r="D985" s="38"/>
      <c r="E985" s="489"/>
      <c r="F985" s="489"/>
      <c r="G985" s="489"/>
      <c r="H985" s="489"/>
      <c r="I985" s="489"/>
      <c r="J985" s="489"/>
      <c r="K985" s="489"/>
      <c r="L985" s="38"/>
      <c r="M985" s="472"/>
      <c r="N985" s="472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ht="15.75" customHeight="1" x14ac:dyDescent="0.35">
      <c r="A986" s="38"/>
      <c r="B986" s="38"/>
      <c r="C986" s="38"/>
      <c r="D986" s="38"/>
      <c r="E986" s="489"/>
      <c r="F986" s="489"/>
      <c r="G986" s="489"/>
      <c r="H986" s="489"/>
      <c r="I986" s="489"/>
      <c r="J986" s="489"/>
      <c r="K986" s="489"/>
      <c r="L986" s="38"/>
      <c r="M986" s="472"/>
      <c r="N986" s="472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ht="15.75" customHeight="1" x14ac:dyDescent="0.35">
      <c r="A987" s="38"/>
      <c r="B987" s="38"/>
      <c r="C987" s="38"/>
      <c r="D987" s="38"/>
      <c r="E987" s="489"/>
      <c r="F987" s="489"/>
      <c r="G987" s="489"/>
      <c r="H987" s="489"/>
      <c r="I987" s="489"/>
      <c r="J987" s="489"/>
      <c r="K987" s="489"/>
      <c r="L987" s="38"/>
      <c r="M987" s="472"/>
      <c r="N987" s="472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ht="15.75" customHeight="1" x14ac:dyDescent="0.35">
      <c r="A988" s="38"/>
      <c r="B988" s="38"/>
      <c r="C988" s="38"/>
      <c r="D988" s="38"/>
      <c r="E988" s="489"/>
      <c r="F988" s="489"/>
      <c r="G988" s="489"/>
      <c r="H988" s="489"/>
      <c r="I988" s="489"/>
      <c r="J988" s="489"/>
      <c r="K988" s="489"/>
      <c r="L988" s="38"/>
      <c r="M988" s="472"/>
      <c r="N988" s="472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ht="15.75" customHeight="1" x14ac:dyDescent="0.35">
      <c r="A989" s="38"/>
      <c r="B989" s="38"/>
      <c r="C989" s="38"/>
      <c r="D989" s="38"/>
      <c r="E989" s="489"/>
      <c r="F989" s="489"/>
      <c r="G989" s="489"/>
      <c r="H989" s="489"/>
      <c r="I989" s="489"/>
      <c r="J989" s="489"/>
      <c r="K989" s="489"/>
      <c r="L989" s="38"/>
      <c r="M989" s="472"/>
      <c r="N989" s="472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ht="15.75" customHeight="1" x14ac:dyDescent="0.35">
      <c r="A990" s="38"/>
      <c r="B990" s="38"/>
      <c r="C990" s="38"/>
      <c r="D990" s="38"/>
      <c r="E990" s="489"/>
      <c r="F990" s="489"/>
      <c r="G990" s="489"/>
      <c r="H990" s="489"/>
      <c r="I990" s="489"/>
      <c r="J990" s="489"/>
      <c r="K990" s="489"/>
      <c r="L990" s="38"/>
      <c r="M990" s="472"/>
      <c r="N990" s="472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ht="15.75" customHeight="1" x14ac:dyDescent="0.35">
      <c r="A991" s="38"/>
      <c r="B991" s="38"/>
      <c r="C991" s="38"/>
      <c r="D991" s="38"/>
      <c r="E991" s="489"/>
      <c r="F991" s="489"/>
      <c r="G991" s="489"/>
      <c r="H991" s="489"/>
      <c r="I991" s="489"/>
      <c r="J991" s="489"/>
      <c r="K991" s="489"/>
      <c r="L991" s="38"/>
      <c r="M991" s="472"/>
      <c r="N991" s="472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ht="15.75" customHeight="1" x14ac:dyDescent="0.35">
      <c r="A992" s="38"/>
      <c r="B992" s="38"/>
      <c r="C992" s="38"/>
      <c r="D992" s="38"/>
      <c r="E992" s="489"/>
      <c r="F992" s="489"/>
      <c r="G992" s="489"/>
      <c r="H992" s="489"/>
      <c r="I992" s="489"/>
      <c r="J992" s="489"/>
      <c r="K992" s="489"/>
      <c r="L992" s="38"/>
      <c r="M992" s="472"/>
      <c r="N992" s="472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ht="15.75" customHeight="1" x14ac:dyDescent="0.35">
      <c r="A993" s="38"/>
      <c r="B993" s="38"/>
      <c r="C993" s="38"/>
      <c r="D993" s="38"/>
      <c r="E993" s="489"/>
      <c r="F993" s="489"/>
      <c r="G993" s="489"/>
      <c r="H993" s="489"/>
      <c r="I993" s="489"/>
      <c r="J993" s="489"/>
      <c r="K993" s="489"/>
      <c r="L993" s="38"/>
      <c r="M993" s="472"/>
      <c r="N993" s="472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ht="15.75" customHeight="1" x14ac:dyDescent="0.35">
      <c r="A994" s="38"/>
      <c r="B994" s="38"/>
      <c r="C994" s="38"/>
      <c r="D994" s="38"/>
      <c r="E994" s="489"/>
      <c r="F994" s="489"/>
      <c r="G994" s="489"/>
      <c r="H994" s="489"/>
      <c r="I994" s="489"/>
      <c r="J994" s="489"/>
      <c r="K994" s="489"/>
      <c r="L994" s="38"/>
      <c r="M994" s="472"/>
      <c r="N994" s="472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ht="15.75" customHeight="1" x14ac:dyDescent="0.35">
      <c r="A995" s="38"/>
      <c r="B995" s="38"/>
      <c r="C995" s="38"/>
      <c r="D995" s="38"/>
      <c r="E995" s="489"/>
      <c r="F995" s="489"/>
      <c r="G995" s="489"/>
      <c r="H995" s="489"/>
      <c r="I995" s="489"/>
      <c r="J995" s="489"/>
      <c r="K995" s="489"/>
      <c r="L995" s="38"/>
      <c r="M995" s="472"/>
      <c r="N995" s="472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ht="15.75" customHeight="1" x14ac:dyDescent="0.35">
      <c r="A996" s="38"/>
      <c r="B996" s="38"/>
      <c r="C996" s="38"/>
      <c r="D996" s="38"/>
      <c r="E996" s="489"/>
      <c r="F996" s="489"/>
      <c r="G996" s="489"/>
      <c r="H996" s="489"/>
      <c r="I996" s="489"/>
      <c r="J996" s="489"/>
      <c r="K996" s="489"/>
      <c r="L996" s="38"/>
      <c r="M996" s="472"/>
      <c r="N996" s="472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ht="15.75" customHeight="1" x14ac:dyDescent="0.35">
      <c r="A997" s="38"/>
      <c r="B997" s="38"/>
      <c r="C997" s="38"/>
      <c r="D997" s="38"/>
      <c r="E997" s="489"/>
      <c r="F997" s="489"/>
      <c r="G997" s="489"/>
      <c r="H997" s="489"/>
      <c r="I997" s="489"/>
      <c r="J997" s="489"/>
      <c r="K997" s="489"/>
      <c r="L997" s="38"/>
      <c r="M997" s="472"/>
      <c r="N997" s="472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ht="15.75" customHeight="1" x14ac:dyDescent="0.35">
      <c r="A998" s="38"/>
      <c r="B998" s="38"/>
      <c r="C998" s="38"/>
      <c r="D998" s="38"/>
      <c r="E998" s="489"/>
      <c r="F998" s="489"/>
      <c r="G998" s="489"/>
      <c r="H998" s="489"/>
      <c r="I998" s="489"/>
      <c r="J998" s="489"/>
      <c r="K998" s="489"/>
      <c r="L998" s="38"/>
      <c r="M998" s="472"/>
      <c r="N998" s="472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ht="15.75" customHeight="1" x14ac:dyDescent="0.35">
      <c r="A999" s="38"/>
      <c r="B999" s="38"/>
      <c r="C999" s="38"/>
      <c r="D999" s="38"/>
      <c r="E999" s="489"/>
      <c r="F999" s="489"/>
      <c r="G999" s="489"/>
      <c r="H999" s="489"/>
      <c r="I999" s="489"/>
      <c r="J999" s="489"/>
      <c r="K999" s="489"/>
      <c r="L999" s="38"/>
      <c r="M999" s="472"/>
      <c r="N999" s="472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ht="15.75" customHeight="1" x14ac:dyDescent="0.35">
      <c r="A1000" s="38"/>
      <c r="B1000" s="38"/>
      <c r="C1000" s="38"/>
      <c r="D1000" s="38"/>
      <c r="E1000" s="489"/>
      <c r="F1000" s="489"/>
      <c r="G1000" s="489"/>
      <c r="H1000" s="489"/>
      <c r="I1000" s="489"/>
      <c r="J1000" s="489"/>
      <c r="K1000" s="489"/>
      <c r="L1000" s="38"/>
      <c r="M1000" s="472"/>
      <c r="N1000" s="472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  <row r="1001" spans="1:26" ht="15.75" customHeight="1" x14ac:dyDescent="0.35">
      <c r="A1001" s="38"/>
      <c r="B1001" s="38"/>
      <c r="C1001" s="38"/>
      <c r="D1001" s="38"/>
      <c r="E1001" s="489"/>
      <c r="F1001" s="489"/>
      <c r="G1001" s="489"/>
      <c r="H1001" s="489"/>
      <c r="I1001" s="489"/>
      <c r="J1001" s="489"/>
      <c r="K1001" s="489"/>
      <c r="L1001" s="38"/>
      <c r="M1001" s="472"/>
      <c r="N1001" s="472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</row>
    <row r="1002" spans="1:26" ht="15.75" customHeight="1" x14ac:dyDescent="0.35">
      <c r="A1002" s="38"/>
      <c r="B1002" s="38"/>
      <c r="C1002" s="38"/>
      <c r="D1002" s="38"/>
      <c r="E1002" s="489"/>
      <c r="F1002" s="489"/>
      <c r="G1002" s="489"/>
      <c r="H1002" s="489"/>
      <c r="I1002" s="489"/>
      <c r="J1002" s="489"/>
      <c r="K1002" s="489"/>
      <c r="L1002" s="38"/>
      <c r="M1002" s="472"/>
      <c r="N1002" s="472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</row>
    <row r="1003" spans="1:26" ht="15.75" customHeight="1" x14ac:dyDescent="0.35">
      <c r="A1003" s="38"/>
      <c r="B1003" s="38"/>
      <c r="C1003" s="38"/>
      <c r="D1003" s="38"/>
      <c r="E1003" s="489"/>
      <c r="F1003" s="489"/>
      <c r="G1003" s="489"/>
      <c r="H1003" s="489"/>
      <c r="I1003" s="489"/>
      <c r="J1003" s="489"/>
      <c r="K1003" s="489"/>
      <c r="L1003" s="38"/>
      <c r="M1003" s="472"/>
      <c r="N1003" s="472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</row>
    <row r="1004" spans="1:26" ht="15.75" customHeight="1" x14ac:dyDescent="0.35">
      <c r="A1004" s="38"/>
      <c r="B1004" s="38"/>
      <c r="C1004" s="38"/>
      <c r="D1004" s="38"/>
      <c r="E1004" s="489"/>
      <c r="F1004" s="489"/>
      <c r="G1004" s="489"/>
      <c r="H1004" s="489"/>
      <c r="I1004" s="489"/>
      <c r="J1004" s="489"/>
      <c r="K1004" s="489"/>
      <c r="L1004" s="38"/>
      <c r="M1004" s="472"/>
      <c r="N1004" s="472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</row>
    <row r="1005" spans="1:26" ht="15.75" customHeight="1" x14ac:dyDescent="0.35">
      <c r="A1005" s="38"/>
      <c r="B1005" s="38"/>
      <c r="C1005" s="38"/>
      <c r="D1005" s="38"/>
      <c r="E1005" s="489"/>
      <c r="F1005" s="489"/>
      <c r="G1005" s="489"/>
      <c r="H1005" s="489"/>
      <c r="I1005" s="489"/>
      <c r="J1005" s="489"/>
      <c r="K1005" s="489"/>
      <c r="L1005" s="38"/>
      <c r="M1005" s="472"/>
      <c r="N1005" s="472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</row>
  </sheetData>
  <pageMargins left="0.7" right="0.7" top="0.75" bottom="0.75" header="0" footer="0"/>
  <pageSetup orientation="landscape"/>
  <rowBreaks count="1" manualBreakCount="1">
    <brk id="158" man="1"/>
  </rowBreak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80"/>
  </sheetPr>
  <dimension ref="A1:Z1011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:P245"/>
    </sheetView>
  </sheetViews>
  <sheetFormatPr defaultColWidth="14.453125" defaultRowHeight="15" customHeight="1" x14ac:dyDescent="0.35"/>
  <cols>
    <col min="1" max="1" width="7.7265625" customWidth="1"/>
    <col min="2" max="2" width="22.54296875" customWidth="1"/>
    <col min="3" max="4" width="16.81640625" customWidth="1"/>
    <col min="5" max="5" width="14.81640625" customWidth="1"/>
    <col min="6" max="6" width="18.453125" customWidth="1"/>
    <col min="7" max="7" width="17.7265625" customWidth="1"/>
    <col min="8" max="8" width="14.7265625" customWidth="1"/>
    <col min="9" max="9" width="17.453125" customWidth="1"/>
    <col min="10" max="10" width="16.81640625" customWidth="1"/>
    <col min="11" max="11" width="11.453125" customWidth="1"/>
    <col min="12" max="12" width="12.453125" customWidth="1"/>
    <col min="13" max="13" width="15.7265625" customWidth="1"/>
    <col min="14" max="16" width="12.54296875" customWidth="1"/>
    <col min="17" max="19" width="14.08984375" customWidth="1"/>
    <col min="20" max="26" width="12.54296875" customWidth="1"/>
  </cols>
  <sheetData>
    <row r="1" spans="1:26" ht="15" hidden="1" customHeight="1" x14ac:dyDescent="0.35">
      <c r="A1" s="4"/>
      <c r="B1" s="7" t="s">
        <v>1</v>
      </c>
      <c r="C1" s="12"/>
      <c r="D1" s="12"/>
      <c r="E1" s="12"/>
      <c r="F1" s="12"/>
      <c r="G1" s="12"/>
      <c r="H1" s="12"/>
      <c r="I1" s="12"/>
      <c r="J1" s="12"/>
      <c r="K1" s="19"/>
      <c r="L1" s="19"/>
      <c r="M1" s="19"/>
      <c r="N1" s="19"/>
      <c r="O1" s="19"/>
      <c r="P1" s="19"/>
      <c r="Q1" s="23"/>
      <c r="R1" s="25"/>
      <c r="S1" s="26"/>
      <c r="T1" s="27"/>
      <c r="U1" s="27"/>
      <c r="V1" s="27"/>
      <c r="W1" s="27"/>
      <c r="X1" s="27"/>
      <c r="Y1" s="27"/>
      <c r="Z1" s="27"/>
    </row>
    <row r="2" spans="1:26" ht="15" hidden="1" customHeight="1" x14ac:dyDescent="0.35">
      <c r="A2" s="28"/>
      <c r="B2" s="29" t="s">
        <v>7</v>
      </c>
      <c r="C2" s="1"/>
      <c r="D2" s="1"/>
      <c r="E2" s="1"/>
      <c r="F2" s="1" t="s">
        <v>9</v>
      </c>
      <c r="G2" s="1"/>
      <c r="H2" s="1"/>
      <c r="I2" s="1"/>
      <c r="J2" s="1"/>
      <c r="K2" s="32"/>
      <c r="L2" s="32"/>
      <c r="M2" s="32"/>
      <c r="N2" s="32"/>
      <c r="O2" s="32"/>
      <c r="P2" s="32"/>
      <c r="Q2" s="34"/>
      <c r="R2" s="25"/>
      <c r="S2" s="26"/>
      <c r="T2" s="27"/>
      <c r="U2" s="27"/>
      <c r="V2" s="27"/>
      <c r="W2" s="27"/>
      <c r="X2" s="27"/>
      <c r="Y2" s="27"/>
      <c r="Z2" s="27"/>
    </row>
    <row r="3" spans="1:26" ht="15" hidden="1" customHeight="1" x14ac:dyDescent="0.35">
      <c r="A3" s="28"/>
      <c r="B3" s="29" t="s">
        <v>12</v>
      </c>
      <c r="C3" s="1"/>
      <c r="D3" s="1"/>
      <c r="E3" s="1"/>
      <c r="F3" s="1" t="s">
        <v>9</v>
      </c>
      <c r="G3" s="1"/>
      <c r="H3" s="42"/>
      <c r="I3" s="1"/>
      <c r="J3" s="1"/>
      <c r="K3" s="32"/>
      <c r="L3" s="32"/>
      <c r="M3" s="32"/>
      <c r="N3" s="32"/>
      <c r="O3" s="32"/>
      <c r="P3" s="32"/>
      <c r="Q3" s="34"/>
      <c r="R3" s="25"/>
      <c r="S3" s="26"/>
      <c r="T3" s="27"/>
      <c r="U3" s="27"/>
      <c r="V3" s="27"/>
      <c r="W3" s="27"/>
      <c r="X3" s="27"/>
      <c r="Y3" s="27"/>
      <c r="Z3" s="27"/>
    </row>
    <row r="4" spans="1:26" ht="15.75" hidden="1" customHeight="1" x14ac:dyDescent="0.35">
      <c r="A4" s="28"/>
      <c r="B4" s="29" t="s">
        <v>16</v>
      </c>
      <c r="C4" s="1"/>
      <c r="D4" s="1"/>
      <c r="E4" s="1"/>
      <c r="F4" s="1" t="s">
        <v>9</v>
      </c>
      <c r="G4" s="1"/>
      <c r="H4" s="1"/>
      <c r="I4" s="1"/>
      <c r="J4" s="1" t="s">
        <v>19</v>
      </c>
      <c r="K4" s="32"/>
      <c r="L4" s="32"/>
      <c r="M4" s="32"/>
      <c r="N4" s="32"/>
      <c r="O4" s="32"/>
      <c r="P4" s="32"/>
      <c r="Q4" s="34"/>
      <c r="R4" s="25"/>
      <c r="S4" s="26"/>
      <c r="T4" s="27"/>
      <c r="U4" s="27"/>
      <c r="V4" s="27"/>
      <c r="W4" s="27"/>
      <c r="X4" s="27"/>
      <c r="Y4" s="27"/>
      <c r="Z4" s="27"/>
    </row>
    <row r="5" spans="1:26" ht="15" hidden="1" customHeight="1" x14ac:dyDescent="0.35">
      <c r="A5" s="47"/>
      <c r="B5" s="27"/>
      <c r="C5" s="27"/>
      <c r="D5" s="48"/>
      <c r="E5" s="1"/>
      <c r="F5" s="1"/>
      <c r="G5" s="1"/>
      <c r="H5" s="1"/>
      <c r="I5" s="1"/>
      <c r="J5" s="49"/>
      <c r="K5" s="32"/>
      <c r="L5" s="32"/>
      <c r="M5" s="32"/>
      <c r="N5" s="32"/>
      <c r="O5" s="32"/>
      <c r="P5" s="32"/>
      <c r="Q5" s="34"/>
      <c r="R5" s="25"/>
      <c r="S5" s="26"/>
      <c r="T5" s="27"/>
      <c r="U5" s="27"/>
      <c r="V5" s="27"/>
      <c r="W5" s="27"/>
      <c r="X5" s="27"/>
      <c r="Y5" s="27"/>
      <c r="Z5" s="27"/>
    </row>
    <row r="6" spans="1:26" ht="15" hidden="1" customHeight="1" x14ac:dyDescent="0.35">
      <c r="A6" s="47"/>
      <c r="B6" s="50"/>
      <c r="C6" s="50"/>
      <c r="D6" s="52"/>
      <c r="E6" s="52"/>
      <c r="F6" s="52"/>
      <c r="G6" s="52"/>
      <c r="H6" s="52"/>
      <c r="I6" s="52"/>
      <c r="J6" s="52"/>
      <c r="K6" s="56"/>
      <c r="L6" s="56"/>
      <c r="M6" s="56"/>
      <c r="N6" s="56"/>
      <c r="O6" s="56"/>
      <c r="P6" s="56"/>
      <c r="Q6" s="57"/>
      <c r="R6" s="25"/>
      <c r="S6" s="26"/>
      <c r="T6" s="27"/>
      <c r="U6" s="27"/>
      <c r="V6" s="27"/>
      <c r="W6" s="27"/>
      <c r="X6" s="27"/>
      <c r="Y6" s="27"/>
      <c r="Z6" s="27"/>
    </row>
    <row r="7" spans="1:26" ht="27.75" customHeight="1" x14ac:dyDescent="0.35">
      <c r="A7" s="60" t="s">
        <v>31</v>
      </c>
      <c r="B7" s="61" t="s">
        <v>3</v>
      </c>
      <c r="C7" s="7" t="s">
        <v>33</v>
      </c>
      <c r="D7" s="62" t="s">
        <v>34</v>
      </c>
      <c r="E7" s="62" t="s">
        <v>35</v>
      </c>
      <c r="F7" s="62" t="s">
        <v>36</v>
      </c>
      <c r="G7" s="62" t="s">
        <v>37</v>
      </c>
      <c r="H7" s="62" t="s">
        <v>39</v>
      </c>
      <c r="I7" s="62" t="s">
        <v>40</v>
      </c>
      <c r="J7" s="62" t="s">
        <v>41</v>
      </c>
      <c r="K7" s="63" t="s">
        <v>43</v>
      </c>
      <c r="L7" s="63" t="s">
        <v>44</v>
      </c>
      <c r="M7" s="64" t="s">
        <v>45</v>
      </c>
      <c r="N7" s="64" t="s">
        <v>46</v>
      </c>
      <c r="O7" s="64" t="s">
        <v>47</v>
      </c>
      <c r="P7" s="64" t="s">
        <v>48</v>
      </c>
      <c r="Q7" s="66" t="s">
        <v>50</v>
      </c>
      <c r="R7" s="25"/>
      <c r="S7" s="26"/>
      <c r="T7" s="27"/>
      <c r="U7" s="27"/>
      <c r="V7" s="27"/>
      <c r="W7" s="27"/>
      <c r="X7" s="27"/>
      <c r="Y7" s="27"/>
      <c r="Z7" s="27"/>
    </row>
    <row r="8" spans="1:26" ht="27.75" customHeight="1" x14ac:dyDescent="0.35">
      <c r="A8" s="69"/>
      <c r="B8" s="71" t="s">
        <v>0</v>
      </c>
      <c r="C8" s="73"/>
      <c r="D8" s="74"/>
      <c r="E8" s="74"/>
      <c r="F8" s="74"/>
      <c r="G8" s="74"/>
      <c r="H8" s="74"/>
      <c r="I8" s="74"/>
      <c r="J8" s="74"/>
      <c r="K8" s="78"/>
      <c r="L8" s="78"/>
      <c r="M8" s="79"/>
      <c r="N8" s="79"/>
      <c r="O8" s="79"/>
      <c r="P8" s="79"/>
      <c r="Q8" s="81"/>
      <c r="R8" s="25"/>
      <c r="S8" s="26"/>
      <c r="T8" s="27"/>
      <c r="U8" s="27"/>
      <c r="V8" s="27"/>
      <c r="W8" s="27"/>
      <c r="X8" s="27"/>
      <c r="Y8" s="27"/>
      <c r="Z8" s="27"/>
    </row>
    <row r="9" spans="1:26" ht="15" customHeight="1" x14ac:dyDescent="0.35">
      <c r="A9" s="83" t="s">
        <v>58</v>
      </c>
      <c r="B9" s="47" t="s">
        <v>59</v>
      </c>
      <c r="C9" s="1" t="s">
        <v>60</v>
      </c>
      <c r="D9" s="84"/>
      <c r="E9" s="86"/>
      <c r="F9" s="87"/>
      <c r="G9" s="86"/>
      <c r="H9" s="86"/>
      <c r="I9" s="91"/>
      <c r="J9" s="92"/>
      <c r="K9" s="32"/>
      <c r="L9" s="32"/>
      <c r="M9" s="32"/>
      <c r="N9" s="32"/>
      <c r="O9" s="32"/>
      <c r="P9" s="32"/>
      <c r="Q9" s="93">
        <f t="shared" ref="Q9:Q218" si="0">E9-I9-J9-K9-L9-M9-N9-O9-P9</f>
        <v>0</v>
      </c>
      <c r="R9" s="95">
        <f t="shared" ref="R9:R244" si="1">J9+K9+L9+M9+N9+O9+P9+Q9</f>
        <v>0</v>
      </c>
      <c r="S9" s="97">
        <f t="shared" ref="S9:S244" si="2">D9-R9</f>
        <v>0</v>
      </c>
      <c r="T9" s="27"/>
      <c r="U9" s="27"/>
      <c r="V9" s="27"/>
      <c r="W9" s="27"/>
      <c r="X9" s="27"/>
      <c r="Y9" s="27"/>
      <c r="Z9" s="27"/>
    </row>
    <row r="10" spans="1:26" ht="15" customHeight="1" x14ac:dyDescent="0.35">
      <c r="A10" s="83" t="s">
        <v>73</v>
      </c>
      <c r="B10" s="98" t="s">
        <v>74</v>
      </c>
      <c r="C10" s="33" t="s">
        <v>75</v>
      </c>
      <c r="D10" s="84"/>
      <c r="E10" s="86"/>
      <c r="F10" s="87"/>
      <c r="G10" s="86"/>
      <c r="H10" s="86"/>
      <c r="I10" s="91"/>
      <c r="J10" s="100"/>
      <c r="K10" s="102"/>
      <c r="L10" s="102"/>
      <c r="M10" s="102"/>
      <c r="N10" s="102"/>
      <c r="O10" s="102"/>
      <c r="P10" s="102"/>
      <c r="Q10" s="93">
        <f t="shared" si="0"/>
        <v>0</v>
      </c>
      <c r="R10" s="95">
        <f t="shared" si="1"/>
        <v>0</v>
      </c>
      <c r="S10" s="97">
        <f t="shared" si="2"/>
        <v>0</v>
      </c>
      <c r="T10" s="27"/>
      <c r="U10" s="27"/>
      <c r="V10" s="27"/>
      <c r="W10" s="27"/>
      <c r="X10" s="27"/>
      <c r="Y10" s="27"/>
      <c r="Z10" s="27"/>
    </row>
    <row r="11" spans="1:26" ht="15" customHeight="1" x14ac:dyDescent="0.35">
      <c r="A11" s="83" t="s">
        <v>85</v>
      </c>
      <c r="B11" s="47" t="s">
        <v>86</v>
      </c>
      <c r="C11" s="105" t="s">
        <v>79</v>
      </c>
      <c r="D11" s="105"/>
      <c r="E11" s="86"/>
      <c r="F11" s="87"/>
      <c r="G11" s="86"/>
      <c r="H11" s="86"/>
      <c r="I11" s="91"/>
      <c r="J11" s="106"/>
      <c r="K11" s="102"/>
      <c r="L11" s="102"/>
      <c r="M11" s="102"/>
      <c r="N11" s="102"/>
      <c r="O11" s="102"/>
      <c r="P11" s="102"/>
      <c r="Q11" s="93">
        <f t="shared" si="0"/>
        <v>0</v>
      </c>
      <c r="R11" s="95">
        <f t="shared" si="1"/>
        <v>0</v>
      </c>
      <c r="S11" s="97">
        <f t="shared" si="2"/>
        <v>0</v>
      </c>
      <c r="T11" s="27"/>
      <c r="U11" s="27"/>
      <c r="V11" s="27"/>
      <c r="W11" s="27"/>
      <c r="X11" s="27"/>
      <c r="Y11" s="27"/>
      <c r="Z11" s="27"/>
    </row>
    <row r="12" spans="1:26" ht="15" customHeight="1" x14ac:dyDescent="0.35">
      <c r="A12" s="83" t="s">
        <v>94</v>
      </c>
      <c r="B12" s="98" t="s">
        <v>96</v>
      </c>
      <c r="C12" s="1" t="s">
        <v>79</v>
      </c>
      <c r="D12" s="86"/>
      <c r="E12" s="86"/>
      <c r="F12" s="87"/>
      <c r="G12" s="86"/>
      <c r="H12" s="86"/>
      <c r="I12" s="91"/>
      <c r="J12" s="108"/>
      <c r="K12" s="32"/>
      <c r="L12" s="32"/>
      <c r="M12" s="32"/>
      <c r="N12" s="32"/>
      <c r="O12" s="32"/>
      <c r="P12" s="32"/>
      <c r="Q12" s="93">
        <f t="shared" si="0"/>
        <v>0</v>
      </c>
      <c r="R12" s="95">
        <f t="shared" si="1"/>
        <v>0</v>
      </c>
      <c r="S12" s="97">
        <f t="shared" si="2"/>
        <v>0</v>
      </c>
      <c r="T12" s="27"/>
      <c r="U12" s="27"/>
      <c r="V12" s="27"/>
      <c r="W12" s="27"/>
      <c r="X12" s="27"/>
      <c r="Y12" s="27"/>
      <c r="Z12" s="27"/>
    </row>
    <row r="13" spans="1:26" ht="15" customHeight="1" x14ac:dyDescent="0.35">
      <c r="A13" s="83" t="s">
        <v>102</v>
      </c>
      <c r="B13" s="47" t="s">
        <v>103</v>
      </c>
      <c r="C13" s="105" t="s">
        <v>105</v>
      </c>
      <c r="D13" s="105"/>
      <c r="E13" s="86"/>
      <c r="F13" s="87"/>
      <c r="G13" s="86"/>
      <c r="H13" s="86"/>
      <c r="I13" s="91"/>
      <c r="J13" s="106"/>
      <c r="K13" s="102"/>
      <c r="L13" s="102"/>
      <c r="M13" s="102"/>
      <c r="N13" s="102"/>
      <c r="O13" s="102"/>
      <c r="P13" s="102"/>
      <c r="Q13" s="93">
        <f t="shared" si="0"/>
        <v>0</v>
      </c>
      <c r="R13" s="95">
        <f t="shared" si="1"/>
        <v>0</v>
      </c>
      <c r="S13" s="97">
        <f t="shared" si="2"/>
        <v>0</v>
      </c>
      <c r="T13" s="27"/>
      <c r="U13" s="27"/>
      <c r="V13" s="27"/>
      <c r="W13" s="27"/>
      <c r="X13" s="27"/>
      <c r="Y13" s="27"/>
      <c r="Z13" s="27"/>
    </row>
    <row r="14" spans="1:26" ht="15" customHeight="1" x14ac:dyDescent="0.35">
      <c r="A14" s="83" t="s">
        <v>111</v>
      </c>
      <c r="B14" s="47" t="s">
        <v>112</v>
      </c>
      <c r="C14" s="33" t="s">
        <v>113</v>
      </c>
      <c r="D14" s="105"/>
      <c r="E14" s="86"/>
      <c r="F14" s="87"/>
      <c r="G14" s="86"/>
      <c r="H14" s="86"/>
      <c r="I14" s="91"/>
      <c r="J14" s="106"/>
      <c r="K14" s="102"/>
      <c r="L14" s="102"/>
      <c r="M14" s="102"/>
      <c r="N14" s="102"/>
      <c r="O14" s="102"/>
      <c r="P14" s="102"/>
      <c r="Q14" s="93">
        <f t="shared" si="0"/>
        <v>0</v>
      </c>
      <c r="R14" s="95">
        <f t="shared" si="1"/>
        <v>0</v>
      </c>
      <c r="S14" s="97">
        <f t="shared" si="2"/>
        <v>0</v>
      </c>
      <c r="T14" s="27"/>
      <c r="U14" s="27"/>
      <c r="V14" s="27"/>
      <c r="W14" s="27"/>
      <c r="X14" s="27"/>
      <c r="Y14" s="27"/>
      <c r="Z14" s="27"/>
    </row>
    <row r="15" spans="1:26" ht="15" customHeight="1" x14ac:dyDescent="0.35">
      <c r="A15" s="83" t="s">
        <v>118</v>
      </c>
      <c r="B15" s="98" t="s">
        <v>120</v>
      </c>
      <c r="C15" s="1" t="s">
        <v>79</v>
      </c>
      <c r="D15" s="86"/>
      <c r="E15" s="86"/>
      <c r="F15" s="87"/>
      <c r="G15" s="86"/>
      <c r="H15" s="86"/>
      <c r="I15" s="91"/>
      <c r="J15" s="108"/>
      <c r="K15" s="32"/>
      <c r="L15" s="32"/>
      <c r="M15" s="32"/>
      <c r="N15" s="32"/>
      <c r="O15" s="32"/>
      <c r="P15" s="32"/>
      <c r="Q15" s="93">
        <f t="shared" si="0"/>
        <v>0</v>
      </c>
      <c r="R15" s="95">
        <f t="shared" si="1"/>
        <v>0</v>
      </c>
      <c r="S15" s="97">
        <f t="shared" si="2"/>
        <v>0</v>
      </c>
      <c r="T15" s="27"/>
      <c r="U15" s="27"/>
      <c r="V15" s="27"/>
      <c r="W15" s="27"/>
      <c r="X15" s="27"/>
      <c r="Y15" s="27"/>
      <c r="Z15" s="27"/>
    </row>
    <row r="16" spans="1:26" ht="15" customHeight="1" x14ac:dyDescent="0.35">
      <c r="A16" s="83" t="s">
        <v>128</v>
      </c>
      <c r="B16" s="112" t="s">
        <v>129</v>
      </c>
      <c r="C16" s="1" t="s">
        <v>131</v>
      </c>
      <c r="D16" s="86"/>
      <c r="E16" s="86"/>
      <c r="F16" s="87"/>
      <c r="G16" s="86"/>
      <c r="H16" s="86"/>
      <c r="I16" s="91"/>
      <c r="J16" s="106"/>
      <c r="K16" s="102"/>
      <c r="L16" s="102"/>
      <c r="M16" s="102"/>
      <c r="N16" s="102"/>
      <c r="O16" s="102"/>
      <c r="P16" s="102"/>
      <c r="Q16" s="93">
        <f t="shared" si="0"/>
        <v>0</v>
      </c>
      <c r="R16" s="95">
        <f t="shared" si="1"/>
        <v>0</v>
      </c>
      <c r="S16" s="97">
        <f t="shared" si="2"/>
        <v>0</v>
      </c>
      <c r="T16" s="27"/>
      <c r="U16" s="27"/>
      <c r="V16" s="27"/>
      <c r="W16" s="27"/>
      <c r="X16" s="27"/>
      <c r="Y16" s="27"/>
      <c r="Z16" s="27"/>
    </row>
    <row r="17" spans="1:26" ht="15" customHeight="1" x14ac:dyDescent="0.35">
      <c r="A17" s="83" t="s">
        <v>138</v>
      </c>
      <c r="B17" s="98" t="s">
        <v>139</v>
      </c>
      <c r="C17" s="1" t="s">
        <v>140</v>
      </c>
      <c r="D17" s="84"/>
      <c r="E17" s="86"/>
      <c r="F17" s="87"/>
      <c r="G17" s="86"/>
      <c r="H17" s="86"/>
      <c r="I17" s="91"/>
      <c r="J17" s="105"/>
      <c r="K17" s="32"/>
      <c r="L17" s="32"/>
      <c r="M17" s="32"/>
      <c r="N17" s="32"/>
      <c r="O17" s="32"/>
      <c r="P17" s="32"/>
      <c r="Q17" s="93">
        <f t="shared" si="0"/>
        <v>0</v>
      </c>
      <c r="R17" s="95">
        <f t="shared" si="1"/>
        <v>0</v>
      </c>
      <c r="S17" s="97">
        <f t="shared" si="2"/>
        <v>0</v>
      </c>
      <c r="T17" s="27"/>
      <c r="U17" s="27"/>
      <c r="V17" s="27"/>
      <c r="W17" s="27"/>
      <c r="X17" s="27"/>
      <c r="Y17" s="27"/>
      <c r="Z17" s="27"/>
    </row>
    <row r="18" spans="1:26" ht="15" customHeight="1" x14ac:dyDescent="0.35">
      <c r="A18" s="83" t="s">
        <v>144</v>
      </c>
      <c r="B18" s="47" t="s">
        <v>145</v>
      </c>
      <c r="C18" s="1" t="s">
        <v>146</v>
      </c>
      <c r="D18" s="84"/>
      <c r="E18" s="86"/>
      <c r="F18" s="87"/>
      <c r="G18" s="86"/>
      <c r="H18" s="86"/>
      <c r="I18" s="91"/>
      <c r="J18" s="116"/>
      <c r="K18" s="102"/>
      <c r="L18" s="102"/>
      <c r="M18" s="102"/>
      <c r="N18" s="102"/>
      <c r="O18" s="102"/>
      <c r="P18" s="102"/>
      <c r="Q18" s="93">
        <f t="shared" si="0"/>
        <v>0</v>
      </c>
      <c r="R18" s="95">
        <f t="shared" si="1"/>
        <v>0</v>
      </c>
      <c r="S18" s="97">
        <f t="shared" si="2"/>
        <v>0</v>
      </c>
      <c r="T18" s="27"/>
      <c r="U18" s="27"/>
      <c r="V18" s="27"/>
      <c r="W18" s="27"/>
      <c r="X18" s="27"/>
      <c r="Y18" s="27"/>
      <c r="Z18" s="27"/>
    </row>
    <row r="19" spans="1:26" ht="15" customHeight="1" x14ac:dyDescent="0.35">
      <c r="A19" s="83" t="s">
        <v>149</v>
      </c>
      <c r="B19" s="47" t="s">
        <v>150</v>
      </c>
      <c r="C19" s="33" t="s">
        <v>151</v>
      </c>
      <c r="D19" s="84"/>
      <c r="E19" s="86"/>
      <c r="F19" s="87"/>
      <c r="G19" s="86"/>
      <c r="H19" s="86"/>
      <c r="I19" s="91"/>
      <c r="J19" s="86"/>
      <c r="K19" s="32"/>
      <c r="L19" s="119"/>
      <c r="M19" s="119"/>
      <c r="N19" s="119"/>
      <c r="O19" s="119"/>
      <c r="P19" s="119"/>
      <c r="Q19" s="93">
        <f t="shared" si="0"/>
        <v>0</v>
      </c>
      <c r="R19" s="95">
        <f t="shared" si="1"/>
        <v>0</v>
      </c>
      <c r="S19" s="97">
        <f t="shared" si="2"/>
        <v>0</v>
      </c>
      <c r="T19" s="27"/>
      <c r="U19" s="27"/>
      <c r="V19" s="27"/>
      <c r="W19" s="27"/>
      <c r="X19" s="27"/>
      <c r="Y19" s="27"/>
      <c r="Z19" s="27"/>
    </row>
    <row r="20" spans="1:26" ht="14.25" customHeight="1" x14ac:dyDescent="0.35">
      <c r="A20" s="83" t="s">
        <v>159</v>
      </c>
      <c r="B20" s="47" t="s">
        <v>160</v>
      </c>
      <c r="C20" s="1" t="s">
        <v>75</v>
      </c>
      <c r="D20" s="86"/>
      <c r="E20" s="86"/>
      <c r="F20" s="87"/>
      <c r="G20" s="86"/>
      <c r="H20" s="86"/>
      <c r="I20" s="91"/>
      <c r="J20" s="86"/>
      <c r="K20" s="32"/>
      <c r="L20" s="32"/>
      <c r="M20" s="32"/>
      <c r="N20" s="32"/>
      <c r="O20" s="32"/>
      <c r="P20" s="32"/>
      <c r="Q20" s="93">
        <f t="shared" si="0"/>
        <v>0</v>
      </c>
      <c r="R20" s="95">
        <f t="shared" si="1"/>
        <v>0</v>
      </c>
      <c r="S20" s="97">
        <f t="shared" si="2"/>
        <v>0</v>
      </c>
      <c r="T20" s="27"/>
      <c r="U20" s="27"/>
      <c r="V20" s="27"/>
      <c r="W20" s="27"/>
      <c r="X20" s="27"/>
      <c r="Y20" s="27"/>
      <c r="Z20" s="27"/>
    </row>
    <row r="21" spans="1:26" ht="15" customHeight="1" x14ac:dyDescent="0.35">
      <c r="A21" s="83" t="s">
        <v>163</v>
      </c>
      <c r="B21" s="47" t="s">
        <v>52</v>
      </c>
      <c r="C21" s="105" t="s">
        <v>164</v>
      </c>
      <c r="D21" s="86"/>
      <c r="E21" s="86"/>
      <c r="F21" s="87"/>
      <c r="G21" s="86"/>
      <c r="H21" s="86"/>
      <c r="I21" s="91"/>
      <c r="J21" s="106"/>
      <c r="K21" s="102"/>
      <c r="L21" s="102"/>
      <c r="M21" s="102"/>
      <c r="N21" s="102"/>
      <c r="O21" s="102"/>
      <c r="P21" s="102"/>
      <c r="Q21" s="93">
        <f t="shared" si="0"/>
        <v>0</v>
      </c>
      <c r="R21" s="95">
        <f t="shared" si="1"/>
        <v>0</v>
      </c>
      <c r="S21" s="97">
        <f t="shared" si="2"/>
        <v>0</v>
      </c>
      <c r="T21" s="27"/>
      <c r="U21" s="27"/>
      <c r="V21" s="27"/>
      <c r="W21" s="27"/>
      <c r="X21" s="27"/>
      <c r="Y21" s="27"/>
      <c r="Z21" s="27"/>
    </row>
    <row r="22" spans="1:26" ht="15" customHeight="1" x14ac:dyDescent="0.35">
      <c r="A22" s="83" t="s">
        <v>169</v>
      </c>
      <c r="B22" s="98" t="s">
        <v>135</v>
      </c>
      <c r="C22" s="1" t="s">
        <v>140</v>
      </c>
      <c r="D22" s="84"/>
      <c r="E22" s="87"/>
      <c r="F22" s="87"/>
      <c r="G22" s="86"/>
      <c r="H22" s="86"/>
      <c r="I22" s="91"/>
      <c r="J22" s="105"/>
      <c r="K22" s="32"/>
      <c r="L22" s="32"/>
      <c r="M22" s="32"/>
      <c r="N22" s="32"/>
      <c r="O22" s="32"/>
      <c r="P22" s="32"/>
      <c r="Q22" s="93">
        <f t="shared" si="0"/>
        <v>0</v>
      </c>
      <c r="R22" s="95">
        <f t="shared" si="1"/>
        <v>0</v>
      </c>
      <c r="S22" s="97">
        <f t="shared" si="2"/>
        <v>0</v>
      </c>
      <c r="T22" s="27"/>
      <c r="U22" s="27"/>
      <c r="V22" s="27"/>
      <c r="W22" s="27"/>
      <c r="X22" s="27"/>
      <c r="Y22" s="27"/>
      <c r="Z22" s="27"/>
    </row>
    <row r="23" spans="1:26" ht="15" customHeight="1" x14ac:dyDescent="0.35">
      <c r="A23" s="83" t="s">
        <v>176</v>
      </c>
      <c r="B23" s="47" t="s">
        <v>177</v>
      </c>
      <c r="C23" s="33" t="s">
        <v>179</v>
      </c>
      <c r="D23" s="84"/>
      <c r="E23" s="86"/>
      <c r="F23" s="87"/>
      <c r="G23" s="86"/>
      <c r="H23" s="86"/>
      <c r="I23" s="91"/>
      <c r="J23" s="106"/>
      <c r="K23" s="102"/>
      <c r="L23" s="102"/>
      <c r="M23" s="102"/>
      <c r="N23" s="102"/>
      <c r="O23" s="102"/>
      <c r="P23" s="102"/>
      <c r="Q23" s="93">
        <f t="shared" si="0"/>
        <v>0</v>
      </c>
      <c r="R23" s="95">
        <f t="shared" si="1"/>
        <v>0</v>
      </c>
      <c r="S23" s="97">
        <f t="shared" si="2"/>
        <v>0</v>
      </c>
      <c r="T23" s="27"/>
      <c r="U23" s="27"/>
      <c r="V23" s="27"/>
      <c r="W23" s="27"/>
      <c r="X23" s="27"/>
      <c r="Y23" s="27"/>
      <c r="Z23" s="27"/>
    </row>
    <row r="24" spans="1:26" ht="15" customHeight="1" x14ac:dyDescent="0.35">
      <c r="A24" s="83" t="s">
        <v>183</v>
      </c>
      <c r="B24" s="112" t="s">
        <v>184</v>
      </c>
      <c r="C24" s="1" t="s">
        <v>185</v>
      </c>
      <c r="D24" s="86"/>
      <c r="E24" s="86"/>
      <c r="F24" s="87"/>
      <c r="G24" s="86"/>
      <c r="H24" s="86"/>
      <c r="I24" s="91"/>
      <c r="J24" s="86"/>
      <c r="K24" s="32"/>
      <c r="L24" s="32"/>
      <c r="M24" s="32"/>
      <c r="N24" s="32"/>
      <c r="O24" s="32"/>
      <c r="P24" s="32"/>
      <c r="Q24" s="93">
        <f t="shared" si="0"/>
        <v>0</v>
      </c>
      <c r="R24" s="95">
        <f t="shared" si="1"/>
        <v>0</v>
      </c>
      <c r="S24" s="97">
        <f t="shared" si="2"/>
        <v>0</v>
      </c>
      <c r="T24" s="27"/>
      <c r="U24" s="27"/>
      <c r="V24" s="27"/>
      <c r="W24" s="27"/>
      <c r="X24" s="27"/>
      <c r="Y24" s="27"/>
      <c r="Z24" s="27"/>
    </row>
    <row r="25" spans="1:26" ht="15" customHeight="1" x14ac:dyDescent="0.35">
      <c r="A25" s="83" t="s">
        <v>191</v>
      </c>
      <c r="B25" s="112" t="s">
        <v>187</v>
      </c>
      <c r="C25" s="1" t="s">
        <v>192</v>
      </c>
      <c r="D25" s="86"/>
      <c r="E25" s="86"/>
      <c r="F25" s="87"/>
      <c r="G25" s="86"/>
      <c r="H25" s="86"/>
      <c r="I25" s="91"/>
      <c r="J25" s="106"/>
      <c r="K25" s="102"/>
      <c r="L25" s="102"/>
      <c r="M25" s="102"/>
      <c r="N25" s="102"/>
      <c r="O25" s="102"/>
      <c r="P25" s="102"/>
      <c r="Q25" s="93">
        <f t="shared" si="0"/>
        <v>0</v>
      </c>
      <c r="R25" s="95">
        <f t="shared" si="1"/>
        <v>0</v>
      </c>
      <c r="S25" s="97">
        <f t="shared" si="2"/>
        <v>0</v>
      </c>
      <c r="T25" s="27"/>
      <c r="U25" s="27"/>
      <c r="V25" s="27"/>
      <c r="W25" s="27"/>
      <c r="X25" s="27"/>
      <c r="Y25" s="27"/>
      <c r="Z25" s="27"/>
    </row>
    <row r="26" spans="1:26" ht="15" customHeight="1" x14ac:dyDescent="0.35">
      <c r="A26" s="83" t="s">
        <v>197</v>
      </c>
      <c r="B26" s="98" t="s">
        <v>194</v>
      </c>
      <c r="C26" s="1" t="s">
        <v>195</v>
      </c>
      <c r="D26" s="86"/>
      <c r="E26" s="86"/>
      <c r="F26" s="87"/>
      <c r="G26" s="86"/>
      <c r="H26" s="86"/>
      <c r="I26" s="91"/>
      <c r="J26" s="116"/>
      <c r="K26" s="102"/>
      <c r="L26" s="102"/>
      <c r="M26" s="102"/>
      <c r="N26" s="102"/>
      <c r="O26" s="102"/>
      <c r="P26" s="102"/>
      <c r="Q26" s="93">
        <f t="shared" si="0"/>
        <v>0</v>
      </c>
      <c r="R26" s="95">
        <f t="shared" si="1"/>
        <v>0</v>
      </c>
      <c r="S26" s="97">
        <f t="shared" si="2"/>
        <v>0</v>
      </c>
      <c r="T26" s="27"/>
      <c r="U26" s="27"/>
      <c r="V26" s="27"/>
      <c r="W26" s="27"/>
      <c r="X26" s="27"/>
      <c r="Y26" s="27"/>
      <c r="Z26" s="27"/>
    </row>
    <row r="27" spans="1:26" ht="15" customHeight="1" x14ac:dyDescent="0.35">
      <c r="A27" s="83" t="s">
        <v>206</v>
      </c>
      <c r="B27" s="47" t="s">
        <v>69</v>
      </c>
      <c r="C27" s="1" t="s">
        <v>195</v>
      </c>
      <c r="D27" s="105"/>
      <c r="E27" s="84"/>
      <c r="F27" s="84"/>
      <c r="G27" s="86"/>
      <c r="H27" s="84"/>
      <c r="I27" s="91"/>
      <c r="J27" s="100"/>
      <c r="K27" s="102"/>
      <c r="L27" s="102"/>
      <c r="M27" s="102"/>
      <c r="N27" s="102"/>
      <c r="O27" s="102"/>
      <c r="P27" s="102"/>
      <c r="Q27" s="93">
        <f t="shared" si="0"/>
        <v>0</v>
      </c>
      <c r="R27" s="95">
        <f t="shared" si="1"/>
        <v>0</v>
      </c>
      <c r="S27" s="97">
        <f t="shared" si="2"/>
        <v>0</v>
      </c>
      <c r="T27" s="27"/>
      <c r="U27" s="27"/>
      <c r="V27" s="27"/>
      <c r="W27" s="27"/>
      <c r="X27" s="27"/>
      <c r="Y27" s="27"/>
      <c r="Z27" s="27"/>
    </row>
    <row r="28" spans="1:26" ht="15" customHeight="1" x14ac:dyDescent="0.35">
      <c r="A28" s="83" t="s">
        <v>213</v>
      </c>
      <c r="B28" s="47" t="s">
        <v>214</v>
      </c>
      <c r="C28" s="1" t="s">
        <v>215</v>
      </c>
      <c r="D28" s="86"/>
      <c r="E28" s="86"/>
      <c r="F28" s="87"/>
      <c r="G28" s="86"/>
      <c r="H28" s="86"/>
      <c r="I28" s="91"/>
      <c r="J28" s="106"/>
      <c r="K28" s="102"/>
      <c r="L28" s="102"/>
      <c r="M28" s="102"/>
      <c r="N28" s="102"/>
      <c r="O28" s="102"/>
      <c r="P28" s="102"/>
      <c r="Q28" s="93">
        <f t="shared" si="0"/>
        <v>0</v>
      </c>
      <c r="R28" s="95">
        <f t="shared" si="1"/>
        <v>0</v>
      </c>
      <c r="S28" s="97">
        <f t="shared" si="2"/>
        <v>0</v>
      </c>
      <c r="T28" s="27"/>
      <c r="U28" s="27"/>
      <c r="V28" s="27"/>
      <c r="W28" s="27"/>
      <c r="X28" s="27"/>
      <c r="Y28" s="27"/>
      <c r="Z28" s="27"/>
    </row>
    <row r="29" spans="1:26" ht="15" customHeight="1" x14ac:dyDescent="0.35">
      <c r="A29" s="83" t="s">
        <v>221</v>
      </c>
      <c r="B29" s="47" t="s">
        <v>222</v>
      </c>
      <c r="C29" s="1" t="s">
        <v>223</v>
      </c>
      <c r="D29" s="84"/>
      <c r="E29" s="86"/>
      <c r="F29" s="87"/>
      <c r="G29" s="86"/>
      <c r="H29" s="86"/>
      <c r="I29" s="91"/>
      <c r="J29" s="116"/>
      <c r="K29" s="102"/>
      <c r="L29" s="102"/>
      <c r="M29" s="102"/>
      <c r="N29" s="102"/>
      <c r="O29" s="102"/>
      <c r="P29" s="102"/>
      <c r="Q29" s="93">
        <f t="shared" si="0"/>
        <v>0</v>
      </c>
      <c r="R29" s="95">
        <f t="shared" si="1"/>
        <v>0</v>
      </c>
      <c r="S29" s="97">
        <f t="shared" si="2"/>
        <v>0</v>
      </c>
      <c r="T29" s="27"/>
      <c r="U29" s="27"/>
      <c r="V29" s="27"/>
      <c r="W29" s="27"/>
      <c r="X29" s="27"/>
      <c r="Y29" s="27"/>
      <c r="Z29" s="27"/>
    </row>
    <row r="30" spans="1:26" ht="15" customHeight="1" x14ac:dyDescent="0.35">
      <c r="A30" s="83" t="s">
        <v>228</v>
      </c>
      <c r="B30" s="47" t="s">
        <v>229</v>
      </c>
      <c r="C30" s="1" t="s">
        <v>230</v>
      </c>
      <c r="D30" s="84"/>
      <c r="E30" s="86"/>
      <c r="F30" s="87"/>
      <c r="G30" s="86"/>
      <c r="H30" s="86"/>
      <c r="I30" s="91"/>
      <c r="J30" s="116"/>
      <c r="K30" s="102"/>
      <c r="L30" s="102"/>
      <c r="M30" s="102"/>
      <c r="N30" s="102"/>
      <c r="O30" s="102"/>
      <c r="P30" s="102"/>
      <c r="Q30" s="93">
        <f t="shared" si="0"/>
        <v>0</v>
      </c>
      <c r="R30" s="95">
        <f t="shared" si="1"/>
        <v>0</v>
      </c>
      <c r="S30" s="97">
        <f t="shared" si="2"/>
        <v>0</v>
      </c>
      <c r="T30" s="27"/>
      <c r="U30" s="27"/>
      <c r="V30" s="27"/>
      <c r="W30" s="27"/>
      <c r="X30" s="27"/>
      <c r="Y30" s="27"/>
      <c r="Z30" s="27"/>
    </row>
    <row r="31" spans="1:26" ht="15" customHeight="1" x14ac:dyDescent="0.35">
      <c r="A31" s="83" t="s">
        <v>234</v>
      </c>
      <c r="B31" s="47" t="s">
        <v>235</v>
      </c>
      <c r="C31" s="1" t="s">
        <v>146</v>
      </c>
      <c r="D31" s="84"/>
      <c r="E31" s="86"/>
      <c r="F31" s="87"/>
      <c r="G31" s="86"/>
      <c r="H31" s="86"/>
      <c r="I31" s="91"/>
      <c r="J31" s="116"/>
      <c r="K31" s="102"/>
      <c r="L31" s="102"/>
      <c r="M31" s="102"/>
      <c r="N31" s="102"/>
      <c r="O31" s="102"/>
      <c r="P31" s="102"/>
      <c r="Q31" s="93">
        <f t="shared" si="0"/>
        <v>0</v>
      </c>
      <c r="R31" s="95">
        <f t="shared" si="1"/>
        <v>0</v>
      </c>
      <c r="S31" s="97">
        <f t="shared" si="2"/>
        <v>0</v>
      </c>
      <c r="T31" s="27"/>
      <c r="U31" s="27"/>
      <c r="V31" s="27"/>
      <c r="W31" s="27"/>
      <c r="X31" s="27"/>
      <c r="Y31" s="27"/>
      <c r="Z31" s="27"/>
    </row>
    <row r="32" spans="1:26" ht="15" customHeight="1" x14ac:dyDescent="0.35">
      <c r="A32" s="83" t="s">
        <v>237</v>
      </c>
      <c r="B32" s="47" t="s">
        <v>238</v>
      </c>
      <c r="C32" s="33" t="s">
        <v>239</v>
      </c>
      <c r="D32" s="105"/>
      <c r="E32" s="86"/>
      <c r="F32" s="87"/>
      <c r="G32" s="86"/>
      <c r="H32" s="86"/>
      <c r="I32" s="91"/>
      <c r="J32" s="106"/>
      <c r="K32" s="102"/>
      <c r="L32" s="102"/>
      <c r="M32" s="102"/>
      <c r="N32" s="102"/>
      <c r="O32" s="102"/>
      <c r="P32" s="102"/>
      <c r="Q32" s="93">
        <f t="shared" si="0"/>
        <v>0</v>
      </c>
      <c r="R32" s="95">
        <f t="shared" si="1"/>
        <v>0</v>
      </c>
      <c r="S32" s="97">
        <f t="shared" si="2"/>
        <v>0</v>
      </c>
      <c r="T32" s="27"/>
      <c r="U32" s="27"/>
      <c r="V32" s="27"/>
      <c r="W32" s="27"/>
      <c r="X32" s="27"/>
      <c r="Y32" s="27"/>
      <c r="Z32" s="27"/>
    </row>
    <row r="33" spans="1:26" ht="15" customHeight="1" x14ac:dyDescent="0.35">
      <c r="A33" s="83" t="s">
        <v>243</v>
      </c>
      <c r="B33" s="47" t="s">
        <v>244</v>
      </c>
      <c r="C33" s="127" t="s">
        <v>245</v>
      </c>
      <c r="D33" s="105"/>
      <c r="E33" s="86"/>
      <c r="F33" s="86"/>
      <c r="G33" s="86"/>
      <c r="H33" s="86"/>
      <c r="I33" s="91"/>
      <c r="J33" s="106"/>
      <c r="K33" s="102"/>
      <c r="L33" s="102"/>
      <c r="M33" s="102"/>
      <c r="N33" s="102"/>
      <c r="O33" s="102"/>
      <c r="P33" s="102"/>
      <c r="Q33" s="93">
        <f t="shared" si="0"/>
        <v>0</v>
      </c>
      <c r="R33" s="95">
        <f t="shared" si="1"/>
        <v>0</v>
      </c>
      <c r="S33" s="97">
        <f t="shared" si="2"/>
        <v>0</v>
      </c>
      <c r="T33" s="27"/>
      <c r="U33" s="27"/>
      <c r="V33" s="27"/>
      <c r="W33" s="27"/>
      <c r="X33" s="27"/>
      <c r="Y33" s="27"/>
      <c r="Z33" s="27"/>
    </row>
    <row r="34" spans="1:26" ht="15" customHeight="1" x14ac:dyDescent="0.35">
      <c r="A34" s="83" t="s">
        <v>248</v>
      </c>
      <c r="B34" s="98" t="s">
        <v>250</v>
      </c>
      <c r="C34" s="1" t="s">
        <v>251</v>
      </c>
      <c r="D34" s="86"/>
      <c r="E34" s="86"/>
      <c r="F34" s="87"/>
      <c r="G34" s="86"/>
      <c r="H34" s="86"/>
      <c r="I34" s="91"/>
      <c r="J34" s="128"/>
      <c r="K34" s="102"/>
      <c r="L34" s="102"/>
      <c r="M34" s="102"/>
      <c r="N34" s="102"/>
      <c r="O34" s="102"/>
      <c r="P34" s="102"/>
      <c r="Q34" s="93">
        <f t="shared" si="0"/>
        <v>0</v>
      </c>
      <c r="R34" s="95">
        <f t="shared" si="1"/>
        <v>0</v>
      </c>
      <c r="S34" s="97">
        <f t="shared" si="2"/>
        <v>0</v>
      </c>
      <c r="T34" s="27"/>
      <c r="U34" s="27"/>
      <c r="V34" s="27"/>
      <c r="W34" s="27"/>
      <c r="X34" s="27"/>
      <c r="Y34" s="27"/>
      <c r="Z34" s="27"/>
    </row>
    <row r="35" spans="1:26" ht="15" customHeight="1" x14ac:dyDescent="0.35">
      <c r="A35" s="83" t="s">
        <v>255</v>
      </c>
      <c r="B35" s="47" t="s">
        <v>256</v>
      </c>
      <c r="C35" s="1" t="s">
        <v>257</v>
      </c>
      <c r="D35" s="84"/>
      <c r="E35" s="86"/>
      <c r="F35" s="87"/>
      <c r="G35" s="86"/>
      <c r="H35" s="86"/>
      <c r="I35" s="91"/>
      <c r="J35" s="116"/>
      <c r="K35" s="102"/>
      <c r="L35" s="102"/>
      <c r="M35" s="102"/>
      <c r="N35" s="102"/>
      <c r="O35" s="102"/>
      <c r="P35" s="102"/>
      <c r="Q35" s="93">
        <f t="shared" si="0"/>
        <v>0</v>
      </c>
      <c r="R35" s="95">
        <f t="shared" si="1"/>
        <v>0</v>
      </c>
      <c r="S35" s="97">
        <f t="shared" si="2"/>
        <v>0</v>
      </c>
      <c r="T35" s="27"/>
      <c r="U35" s="27"/>
      <c r="V35" s="27"/>
      <c r="W35" s="27"/>
      <c r="X35" s="27"/>
      <c r="Y35" s="27"/>
      <c r="Z35" s="27"/>
    </row>
    <row r="36" spans="1:26" ht="15" customHeight="1" x14ac:dyDescent="0.35">
      <c r="A36" s="83" t="s">
        <v>261</v>
      </c>
      <c r="B36" s="47" t="s">
        <v>263</v>
      </c>
      <c r="C36" s="33" t="s">
        <v>215</v>
      </c>
      <c r="D36" s="86"/>
      <c r="E36" s="86"/>
      <c r="F36" s="87"/>
      <c r="G36" s="86"/>
      <c r="H36" s="86"/>
      <c r="I36" s="91"/>
      <c r="J36" s="106"/>
      <c r="K36" s="102"/>
      <c r="L36" s="102"/>
      <c r="M36" s="102"/>
      <c r="N36" s="102"/>
      <c r="O36" s="102"/>
      <c r="P36" s="102"/>
      <c r="Q36" s="93">
        <f t="shared" si="0"/>
        <v>0</v>
      </c>
      <c r="R36" s="95">
        <f t="shared" si="1"/>
        <v>0</v>
      </c>
      <c r="S36" s="97">
        <f t="shared" si="2"/>
        <v>0</v>
      </c>
      <c r="T36" s="27"/>
      <c r="U36" s="27"/>
      <c r="V36" s="27"/>
      <c r="W36" s="27"/>
      <c r="X36" s="27"/>
      <c r="Y36" s="27"/>
      <c r="Z36" s="27"/>
    </row>
    <row r="37" spans="1:26" ht="15" customHeight="1" x14ac:dyDescent="0.35">
      <c r="A37" s="83" t="s">
        <v>268</v>
      </c>
      <c r="B37" s="47" t="s">
        <v>269</v>
      </c>
      <c r="C37" s="1" t="s">
        <v>113</v>
      </c>
      <c r="D37" s="84"/>
      <c r="E37" s="86"/>
      <c r="F37" s="87"/>
      <c r="G37" s="86"/>
      <c r="H37" s="86"/>
      <c r="I37" s="91"/>
      <c r="J37" s="116"/>
      <c r="K37" s="102"/>
      <c r="L37" s="102"/>
      <c r="M37" s="102"/>
      <c r="N37" s="102"/>
      <c r="O37" s="102"/>
      <c r="P37" s="102"/>
      <c r="Q37" s="93">
        <f t="shared" si="0"/>
        <v>0</v>
      </c>
      <c r="R37" s="95">
        <f t="shared" si="1"/>
        <v>0</v>
      </c>
      <c r="S37" s="97">
        <f t="shared" si="2"/>
        <v>0</v>
      </c>
      <c r="T37" s="27"/>
      <c r="U37" s="27"/>
      <c r="V37" s="27"/>
      <c r="W37" s="27"/>
      <c r="X37" s="27"/>
      <c r="Y37" s="27"/>
      <c r="Z37" s="27"/>
    </row>
    <row r="38" spans="1:26" ht="15" customHeight="1" x14ac:dyDescent="0.35">
      <c r="A38" s="83" t="s">
        <v>272</v>
      </c>
      <c r="B38" s="47" t="s">
        <v>273</v>
      </c>
      <c r="C38" s="1" t="s">
        <v>274</v>
      </c>
      <c r="D38" s="84"/>
      <c r="E38" s="86"/>
      <c r="F38" s="87"/>
      <c r="G38" s="86"/>
      <c r="H38" s="86"/>
      <c r="I38" s="91"/>
      <c r="J38" s="92"/>
      <c r="K38" s="32"/>
      <c r="L38" s="32"/>
      <c r="M38" s="32"/>
      <c r="N38" s="32"/>
      <c r="O38" s="32"/>
      <c r="P38" s="32"/>
      <c r="Q38" s="93">
        <f t="shared" si="0"/>
        <v>0</v>
      </c>
      <c r="R38" s="95">
        <f t="shared" si="1"/>
        <v>0</v>
      </c>
      <c r="S38" s="97">
        <f t="shared" si="2"/>
        <v>0</v>
      </c>
      <c r="T38" s="27"/>
      <c r="U38" s="27"/>
      <c r="V38" s="27"/>
      <c r="W38" s="27"/>
      <c r="X38" s="27"/>
      <c r="Y38" s="27"/>
      <c r="Z38" s="27"/>
    </row>
    <row r="39" spans="1:26" ht="15" customHeight="1" x14ac:dyDescent="0.35">
      <c r="A39" s="83" t="s">
        <v>279</v>
      </c>
      <c r="B39" s="47" t="s">
        <v>280</v>
      </c>
      <c r="C39" s="105" t="s">
        <v>282</v>
      </c>
      <c r="D39" s="86"/>
      <c r="E39" s="86"/>
      <c r="F39" s="87"/>
      <c r="G39" s="86"/>
      <c r="H39" s="86"/>
      <c r="I39" s="91"/>
      <c r="J39" s="86"/>
      <c r="K39" s="32"/>
      <c r="L39" s="32"/>
      <c r="M39" s="32"/>
      <c r="N39" s="32"/>
      <c r="O39" s="32"/>
      <c r="P39" s="32"/>
      <c r="Q39" s="93">
        <f t="shared" si="0"/>
        <v>0</v>
      </c>
      <c r="R39" s="95">
        <f t="shared" si="1"/>
        <v>0</v>
      </c>
      <c r="S39" s="97">
        <f t="shared" si="2"/>
        <v>0</v>
      </c>
      <c r="T39" s="27"/>
      <c r="U39" s="27"/>
      <c r="V39" s="27"/>
      <c r="W39" s="27"/>
      <c r="X39" s="27"/>
      <c r="Y39" s="27"/>
      <c r="Z39" s="27"/>
    </row>
    <row r="40" spans="1:26" ht="15" customHeight="1" x14ac:dyDescent="0.35">
      <c r="A40" s="83" t="s">
        <v>285</v>
      </c>
      <c r="B40" s="47" t="s">
        <v>286</v>
      </c>
      <c r="C40" s="105" t="s">
        <v>287</v>
      </c>
      <c r="D40" s="86"/>
      <c r="E40" s="86"/>
      <c r="F40" s="87"/>
      <c r="G40" s="86"/>
      <c r="H40" s="86"/>
      <c r="I40" s="91"/>
      <c r="J40" s="86"/>
      <c r="K40" s="32"/>
      <c r="L40" s="32"/>
      <c r="M40" s="32"/>
      <c r="N40" s="32"/>
      <c r="O40" s="32"/>
      <c r="P40" s="32"/>
      <c r="Q40" s="93">
        <f t="shared" si="0"/>
        <v>0</v>
      </c>
      <c r="R40" s="95">
        <f t="shared" si="1"/>
        <v>0</v>
      </c>
      <c r="S40" s="97">
        <f t="shared" si="2"/>
        <v>0</v>
      </c>
      <c r="T40" s="27"/>
      <c r="U40" s="27"/>
      <c r="V40" s="27"/>
      <c r="W40" s="27"/>
      <c r="X40" s="27"/>
      <c r="Y40" s="27"/>
      <c r="Z40" s="27"/>
    </row>
    <row r="41" spans="1:26" ht="15" customHeight="1" x14ac:dyDescent="0.35">
      <c r="A41" s="83" t="s">
        <v>290</v>
      </c>
      <c r="B41" s="112" t="s">
        <v>291</v>
      </c>
      <c r="C41" s="33" t="s">
        <v>292</v>
      </c>
      <c r="D41" s="86"/>
      <c r="E41" s="86"/>
      <c r="F41" s="87"/>
      <c r="G41" s="86"/>
      <c r="H41" s="86"/>
      <c r="I41" s="91"/>
      <c r="J41" s="106"/>
      <c r="K41" s="102"/>
      <c r="L41" s="102"/>
      <c r="M41" s="102"/>
      <c r="N41" s="102"/>
      <c r="O41" s="102"/>
      <c r="P41" s="102"/>
      <c r="Q41" s="93">
        <f t="shared" si="0"/>
        <v>0</v>
      </c>
      <c r="R41" s="95">
        <f t="shared" si="1"/>
        <v>0</v>
      </c>
      <c r="S41" s="97">
        <f t="shared" si="2"/>
        <v>0</v>
      </c>
      <c r="T41" s="27"/>
      <c r="U41" s="27"/>
      <c r="V41" s="27"/>
      <c r="W41" s="27"/>
      <c r="X41" s="27"/>
      <c r="Y41" s="27"/>
      <c r="Z41" s="27"/>
    </row>
    <row r="42" spans="1:26" ht="15" customHeight="1" x14ac:dyDescent="0.35">
      <c r="A42" s="83" t="s">
        <v>296</v>
      </c>
      <c r="B42" s="47" t="s">
        <v>297</v>
      </c>
      <c r="C42" s="1" t="s">
        <v>245</v>
      </c>
      <c r="D42" s="84"/>
      <c r="E42" s="86"/>
      <c r="F42" s="87"/>
      <c r="G42" s="86"/>
      <c r="H42" s="86"/>
      <c r="I42" s="91"/>
      <c r="J42" s="116"/>
      <c r="K42" s="102"/>
      <c r="L42" s="102"/>
      <c r="M42" s="102"/>
      <c r="N42" s="102"/>
      <c r="O42" s="102"/>
      <c r="P42" s="102"/>
      <c r="Q42" s="93">
        <f t="shared" si="0"/>
        <v>0</v>
      </c>
      <c r="R42" s="95">
        <f t="shared" si="1"/>
        <v>0</v>
      </c>
      <c r="S42" s="97">
        <f t="shared" si="2"/>
        <v>0</v>
      </c>
      <c r="T42" s="27"/>
      <c r="U42" s="27"/>
      <c r="V42" s="27"/>
      <c r="W42" s="27"/>
      <c r="X42" s="27"/>
      <c r="Y42" s="27"/>
      <c r="Z42" s="27"/>
    </row>
    <row r="43" spans="1:26" ht="15" customHeight="1" x14ac:dyDescent="0.35">
      <c r="A43" s="83" t="s">
        <v>302</v>
      </c>
      <c r="B43" s="47" t="s">
        <v>303</v>
      </c>
      <c r="C43" s="1" t="s">
        <v>304</v>
      </c>
      <c r="D43" s="84"/>
      <c r="E43" s="86"/>
      <c r="F43" s="87"/>
      <c r="G43" s="86"/>
      <c r="H43" s="86"/>
      <c r="I43" s="91"/>
      <c r="J43" s="116"/>
      <c r="K43" s="102"/>
      <c r="L43" s="102"/>
      <c r="M43" s="102"/>
      <c r="N43" s="102"/>
      <c r="O43" s="102"/>
      <c r="P43" s="102"/>
      <c r="Q43" s="93">
        <f t="shared" si="0"/>
        <v>0</v>
      </c>
      <c r="R43" s="95">
        <f t="shared" si="1"/>
        <v>0</v>
      </c>
      <c r="S43" s="97">
        <f t="shared" si="2"/>
        <v>0</v>
      </c>
      <c r="T43" s="27"/>
      <c r="U43" s="27"/>
      <c r="V43" s="27"/>
      <c r="W43" s="27"/>
      <c r="X43" s="27"/>
      <c r="Y43" s="27"/>
      <c r="Z43" s="27"/>
    </row>
    <row r="44" spans="1:26" ht="15" customHeight="1" x14ac:dyDescent="0.35">
      <c r="A44" s="83" t="s">
        <v>309</v>
      </c>
      <c r="B44" s="47" t="s">
        <v>293</v>
      </c>
      <c r="C44" s="105" t="s">
        <v>113</v>
      </c>
      <c r="D44" s="84"/>
      <c r="E44" s="86"/>
      <c r="F44" s="87"/>
      <c r="G44" s="86"/>
      <c r="H44" s="86"/>
      <c r="I44" s="91"/>
      <c r="J44" s="116"/>
      <c r="K44" s="102"/>
      <c r="L44" s="102"/>
      <c r="M44" s="102"/>
      <c r="N44" s="102"/>
      <c r="O44" s="102"/>
      <c r="P44" s="102"/>
      <c r="Q44" s="93">
        <f t="shared" si="0"/>
        <v>0</v>
      </c>
      <c r="R44" s="95">
        <f t="shared" si="1"/>
        <v>0</v>
      </c>
      <c r="S44" s="97">
        <f t="shared" si="2"/>
        <v>0</v>
      </c>
      <c r="T44" s="27"/>
      <c r="U44" s="27"/>
      <c r="V44" s="27"/>
      <c r="W44" s="27"/>
      <c r="X44" s="27"/>
      <c r="Y44" s="27"/>
      <c r="Z44" s="27"/>
    </row>
    <row r="45" spans="1:26" ht="15" customHeight="1" x14ac:dyDescent="0.35">
      <c r="A45" s="83" t="s">
        <v>315</v>
      </c>
      <c r="B45" s="47" t="s">
        <v>316</v>
      </c>
      <c r="C45" s="105" t="s">
        <v>317</v>
      </c>
      <c r="D45" s="86"/>
      <c r="E45" s="86"/>
      <c r="F45" s="87"/>
      <c r="G45" s="86"/>
      <c r="H45" s="86"/>
      <c r="I45" s="91"/>
      <c r="J45" s="106"/>
      <c r="K45" s="102"/>
      <c r="L45" s="102"/>
      <c r="M45" s="102"/>
      <c r="N45" s="102"/>
      <c r="O45" s="102"/>
      <c r="P45" s="102"/>
      <c r="Q45" s="93">
        <f t="shared" si="0"/>
        <v>0</v>
      </c>
      <c r="R45" s="95">
        <f t="shared" si="1"/>
        <v>0</v>
      </c>
      <c r="S45" s="97">
        <f t="shared" si="2"/>
        <v>0</v>
      </c>
      <c r="T45" s="27"/>
      <c r="U45" s="27"/>
      <c r="V45" s="27"/>
      <c r="W45" s="27"/>
      <c r="X45" s="27"/>
      <c r="Y45" s="27"/>
      <c r="Z45" s="27"/>
    </row>
    <row r="46" spans="1:26" ht="15" customHeight="1" x14ac:dyDescent="0.35">
      <c r="A46" s="83" t="s">
        <v>324</v>
      </c>
      <c r="B46" s="47" t="s">
        <v>325</v>
      </c>
      <c r="C46" s="1" t="s">
        <v>179</v>
      </c>
      <c r="D46" s="105"/>
      <c r="E46" s="86"/>
      <c r="F46" s="87"/>
      <c r="G46" s="86"/>
      <c r="H46" s="86"/>
      <c r="I46" s="91"/>
      <c r="J46" s="106"/>
      <c r="K46" s="102"/>
      <c r="L46" s="102"/>
      <c r="M46" s="102"/>
      <c r="N46" s="102"/>
      <c r="O46" s="102"/>
      <c r="P46" s="102"/>
      <c r="Q46" s="93">
        <f t="shared" si="0"/>
        <v>0</v>
      </c>
      <c r="R46" s="95">
        <f t="shared" si="1"/>
        <v>0</v>
      </c>
      <c r="S46" s="97">
        <f t="shared" si="2"/>
        <v>0</v>
      </c>
      <c r="T46" s="27"/>
      <c r="U46" s="27"/>
      <c r="V46" s="27"/>
      <c r="W46" s="27"/>
      <c r="X46" s="27"/>
      <c r="Y46" s="27"/>
      <c r="Z46" s="27"/>
    </row>
    <row r="47" spans="1:26" ht="15" customHeight="1" x14ac:dyDescent="0.35">
      <c r="A47" s="83" t="s">
        <v>330</v>
      </c>
      <c r="B47" s="47" t="s">
        <v>331</v>
      </c>
      <c r="C47" s="1" t="s">
        <v>140</v>
      </c>
      <c r="D47" s="84"/>
      <c r="E47" s="86"/>
      <c r="F47" s="87"/>
      <c r="G47" s="86"/>
      <c r="H47" s="86"/>
      <c r="I47" s="91"/>
      <c r="J47" s="92"/>
      <c r="K47" s="32"/>
      <c r="L47" s="32"/>
      <c r="M47" s="32"/>
      <c r="N47" s="32"/>
      <c r="O47" s="32"/>
      <c r="P47" s="32"/>
      <c r="Q47" s="93">
        <f t="shared" si="0"/>
        <v>0</v>
      </c>
      <c r="R47" s="95">
        <f t="shared" si="1"/>
        <v>0</v>
      </c>
      <c r="S47" s="97">
        <f t="shared" si="2"/>
        <v>0</v>
      </c>
      <c r="T47" s="27"/>
      <c r="U47" s="27"/>
      <c r="V47" s="27"/>
      <c r="W47" s="27"/>
      <c r="X47" s="27"/>
      <c r="Y47" s="27"/>
      <c r="Z47" s="27"/>
    </row>
    <row r="48" spans="1:26" ht="15" customHeight="1" x14ac:dyDescent="0.35">
      <c r="A48" s="83" t="s">
        <v>336</v>
      </c>
      <c r="B48" s="132" t="s">
        <v>338</v>
      </c>
      <c r="C48" s="105" t="s">
        <v>339</v>
      </c>
      <c r="D48" s="86"/>
      <c r="E48" s="86"/>
      <c r="F48" s="87"/>
      <c r="G48" s="86"/>
      <c r="H48" s="86"/>
      <c r="I48" s="91"/>
      <c r="J48" s="106"/>
      <c r="K48" s="102"/>
      <c r="L48" s="102"/>
      <c r="M48" s="102"/>
      <c r="N48" s="102"/>
      <c r="O48" s="102"/>
      <c r="P48" s="102"/>
      <c r="Q48" s="93">
        <f t="shared" si="0"/>
        <v>0</v>
      </c>
      <c r="R48" s="95">
        <f t="shared" si="1"/>
        <v>0</v>
      </c>
      <c r="S48" s="97">
        <f t="shared" si="2"/>
        <v>0</v>
      </c>
      <c r="T48" s="27"/>
      <c r="U48" s="27"/>
      <c r="V48" s="27"/>
      <c r="W48" s="27"/>
      <c r="X48" s="27"/>
      <c r="Y48" s="27"/>
      <c r="Z48" s="27"/>
    </row>
    <row r="49" spans="1:26" ht="15" customHeight="1" x14ac:dyDescent="0.35">
      <c r="A49" s="83" t="s">
        <v>330</v>
      </c>
      <c r="B49" s="47" t="s">
        <v>345</v>
      </c>
      <c r="C49" s="1" t="s">
        <v>131</v>
      </c>
      <c r="D49" s="86"/>
      <c r="E49" s="86"/>
      <c r="F49" s="87"/>
      <c r="G49" s="86"/>
      <c r="H49" s="86"/>
      <c r="I49" s="91"/>
      <c r="J49" s="86"/>
      <c r="K49" s="32"/>
      <c r="L49" s="32"/>
      <c r="M49" s="32"/>
      <c r="N49" s="32"/>
      <c r="O49" s="32"/>
      <c r="P49" s="32"/>
      <c r="Q49" s="93">
        <f t="shared" si="0"/>
        <v>0</v>
      </c>
      <c r="R49" s="95">
        <f t="shared" si="1"/>
        <v>0</v>
      </c>
      <c r="S49" s="97">
        <f t="shared" si="2"/>
        <v>0</v>
      </c>
      <c r="T49" s="27"/>
      <c r="U49" s="27"/>
      <c r="V49" s="27"/>
      <c r="W49" s="27"/>
      <c r="X49" s="27"/>
      <c r="Y49" s="27"/>
      <c r="Z49" s="27"/>
    </row>
    <row r="50" spans="1:26" ht="15" customHeight="1" x14ac:dyDescent="0.35">
      <c r="A50" s="83" t="s">
        <v>350</v>
      </c>
      <c r="B50" s="98" t="s">
        <v>351</v>
      </c>
      <c r="C50" s="1" t="s">
        <v>352</v>
      </c>
      <c r="D50" s="84"/>
      <c r="E50" s="86"/>
      <c r="F50" s="87"/>
      <c r="G50" s="86"/>
      <c r="H50" s="86"/>
      <c r="I50" s="91"/>
      <c r="J50" s="100"/>
      <c r="K50" s="102"/>
      <c r="L50" s="102"/>
      <c r="M50" s="102"/>
      <c r="N50" s="102"/>
      <c r="O50" s="102"/>
      <c r="P50" s="102"/>
      <c r="Q50" s="93">
        <f t="shared" si="0"/>
        <v>0</v>
      </c>
      <c r="R50" s="95">
        <f t="shared" si="1"/>
        <v>0</v>
      </c>
      <c r="S50" s="97">
        <f t="shared" si="2"/>
        <v>0</v>
      </c>
      <c r="T50" s="27"/>
      <c r="U50" s="27"/>
      <c r="V50" s="27"/>
      <c r="W50" s="27"/>
      <c r="X50" s="27"/>
      <c r="Y50" s="27"/>
      <c r="Z50" s="27"/>
    </row>
    <row r="51" spans="1:26" ht="15" customHeight="1" x14ac:dyDescent="0.35">
      <c r="A51" s="83" t="s">
        <v>355</v>
      </c>
      <c r="B51" s="47" t="s">
        <v>356</v>
      </c>
      <c r="C51" s="1" t="s">
        <v>357</v>
      </c>
      <c r="D51" s="84"/>
      <c r="E51" s="86"/>
      <c r="F51" s="87"/>
      <c r="G51" s="86"/>
      <c r="H51" s="86"/>
      <c r="I51" s="91"/>
      <c r="J51" s="116"/>
      <c r="K51" s="102"/>
      <c r="L51" s="102"/>
      <c r="M51" s="102"/>
      <c r="N51" s="102"/>
      <c r="O51" s="102"/>
      <c r="P51" s="102"/>
      <c r="Q51" s="93">
        <f t="shared" si="0"/>
        <v>0</v>
      </c>
      <c r="R51" s="95">
        <f t="shared" si="1"/>
        <v>0</v>
      </c>
      <c r="S51" s="97">
        <f t="shared" si="2"/>
        <v>0</v>
      </c>
      <c r="T51" s="27"/>
      <c r="U51" s="27"/>
      <c r="V51" s="27"/>
      <c r="W51" s="27"/>
      <c r="X51" s="27"/>
      <c r="Y51" s="27"/>
      <c r="Z51" s="27"/>
    </row>
    <row r="52" spans="1:26" ht="15" customHeight="1" x14ac:dyDescent="0.35">
      <c r="A52" s="83" t="s">
        <v>359</v>
      </c>
      <c r="B52" s="47" t="s">
        <v>361</v>
      </c>
      <c r="C52" s="33" t="s">
        <v>362</v>
      </c>
      <c r="D52" s="105"/>
      <c r="E52" s="86"/>
      <c r="F52" s="87"/>
      <c r="G52" s="86"/>
      <c r="H52" s="86"/>
      <c r="I52" s="91"/>
      <c r="J52" s="86"/>
      <c r="K52" s="32"/>
      <c r="L52" s="32"/>
      <c r="M52" s="32"/>
      <c r="N52" s="32"/>
      <c r="O52" s="32"/>
      <c r="P52" s="32"/>
      <c r="Q52" s="93">
        <f t="shared" si="0"/>
        <v>0</v>
      </c>
      <c r="R52" s="95">
        <f t="shared" si="1"/>
        <v>0</v>
      </c>
      <c r="S52" s="97">
        <f t="shared" si="2"/>
        <v>0</v>
      </c>
      <c r="T52" s="27"/>
      <c r="U52" s="27"/>
      <c r="V52" s="27"/>
      <c r="W52" s="27"/>
      <c r="X52" s="27"/>
      <c r="Y52" s="27"/>
      <c r="Z52" s="27"/>
    </row>
    <row r="53" spans="1:26" ht="15" customHeight="1" x14ac:dyDescent="0.35">
      <c r="A53" s="83" t="s">
        <v>365</v>
      </c>
      <c r="B53" s="47" t="s">
        <v>366</v>
      </c>
      <c r="C53" s="1" t="s">
        <v>113</v>
      </c>
      <c r="D53" s="84"/>
      <c r="E53" s="86"/>
      <c r="F53" s="87"/>
      <c r="G53" s="86"/>
      <c r="H53" s="86"/>
      <c r="I53" s="91"/>
      <c r="J53" s="116"/>
      <c r="K53" s="102"/>
      <c r="L53" s="102"/>
      <c r="M53" s="102"/>
      <c r="N53" s="102"/>
      <c r="O53" s="102"/>
      <c r="P53" s="102"/>
      <c r="Q53" s="93">
        <f t="shared" si="0"/>
        <v>0</v>
      </c>
      <c r="R53" s="95">
        <f t="shared" si="1"/>
        <v>0</v>
      </c>
      <c r="S53" s="97">
        <f t="shared" si="2"/>
        <v>0</v>
      </c>
      <c r="T53" s="27"/>
      <c r="U53" s="27"/>
      <c r="V53" s="27"/>
      <c r="W53" s="27"/>
      <c r="X53" s="27"/>
      <c r="Y53" s="27"/>
      <c r="Z53" s="27"/>
    </row>
    <row r="54" spans="1:26" ht="15" customHeight="1" x14ac:dyDescent="0.35">
      <c r="A54" s="83" t="s">
        <v>369</v>
      </c>
      <c r="B54" s="47" t="s">
        <v>371</v>
      </c>
      <c r="C54" s="1" t="s">
        <v>372</v>
      </c>
      <c r="D54" s="136"/>
      <c r="E54" s="86"/>
      <c r="F54" s="87"/>
      <c r="G54" s="86"/>
      <c r="H54" s="86"/>
      <c r="I54" s="91"/>
      <c r="J54" s="92"/>
      <c r="K54" s="32"/>
      <c r="L54" s="32"/>
      <c r="M54" s="32"/>
      <c r="N54" s="32"/>
      <c r="O54" s="32"/>
      <c r="P54" s="32"/>
      <c r="Q54" s="93">
        <f t="shared" si="0"/>
        <v>0</v>
      </c>
      <c r="R54" s="95">
        <f t="shared" si="1"/>
        <v>0</v>
      </c>
      <c r="S54" s="97">
        <f t="shared" si="2"/>
        <v>0</v>
      </c>
      <c r="T54" s="27"/>
      <c r="U54" s="27"/>
      <c r="V54" s="27"/>
      <c r="W54" s="27"/>
      <c r="X54" s="27"/>
      <c r="Y54" s="27"/>
      <c r="Z54" s="27"/>
    </row>
    <row r="55" spans="1:26" ht="15" customHeight="1" x14ac:dyDescent="0.35">
      <c r="A55" s="83" t="s">
        <v>380</v>
      </c>
      <c r="B55" s="47" t="s">
        <v>209</v>
      </c>
      <c r="C55" s="105" t="s">
        <v>381</v>
      </c>
      <c r="D55" s="84"/>
      <c r="E55" s="86"/>
      <c r="F55" s="87"/>
      <c r="G55" s="86"/>
      <c r="H55" s="86"/>
      <c r="I55" s="91"/>
      <c r="J55" s="86"/>
      <c r="K55" s="32"/>
      <c r="L55" s="32"/>
      <c r="M55" s="32"/>
      <c r="N55" s="32"/>
      <c r="O55" s="32"/>
      <c r="P55" s="32"/>
      <c r="Q55" s="93">
        <f t="shared" si="0"/>
        <v>0</v>
      </c>
      <c r="R55" s="95">
        <f t="shared" si="1"/>
        <v>0</v>
      </c>
      <c r="S55" s="97">
        <f t="shared" si="2"/>
        <v>0</v>
      </c>
      <c r="T55" s="27"/>
      <c r="U55" s="27"/>
      <c r="V55" s="27"/>
      <c r="W55" s="27"/>
      <c r="X55" s="27"/>
      <c r="Y55" s="27"/>
      <c r="Z55" s="27"/>
    </row>
    <row r="56" spans="1:26" ht="15" customHeight="1" x14ac:dyDescent="0.35">
      <c r="A56" s="83" t="s">
        <v>385</v>
      </c>
      <c r="B56" s="98" t="s">
        <v>388</v>
      </c>
      <c r="C56" s="1" t="s">
        <v>179</v>
      </c>
      <c r="D56" s="86"/>
      <c r="E56" s="86"/>
      <c r="F56" s="87"/>
      <c r="G56" s="86"/>
      <c r="H56" s="86"/>
      <c r="I56" s="91"/>
      <c r="J56" s="128"/>
      <c r="K56" s="102"/>
      <c r="L56" s="102"/>
      <c r="M56" s="102"/>
      <c r="N56" s="102"/>
      <c r="O56" s="102"/>
      <c r="P56" s="102"/>
      <c r="Q56" s="93">
        <f t="shared" si="0"/>
        <v>0</v>
      </c>
      <c r="R56" s="95">
        <f t="shared" si="1"/>
        <v>0</v>
      </c>
      <c r="S56" s="97">
        <f t="shared" si="2"/>
        <v>0</v>
      </c>
      <c r="T56" s="27"/>
      <c r="U56" s="27"/>
      <c r="V56" s="27"/>
      <c r="W56" s="27"/>
      <c r="X56" s="27"/>
      <c r="Y56" s="27"/>
      <c r="Z56" s="27"/>
    </row>
    <row r="57" spans="1:26" ht="14.25" customHeight="1" x14ac:dyDescent="0.35">
      <c r="A57" s="83" t="s">
        <v>395</v>
      </c>
      <c r="B57" s="112" t="s">
        <v>396</v>
      </c>
      <c r="C57" s="33" t="s">
        <v>397</v>
      </c>
      <c r="D57" s="86"/>
      <c r="E57" s="86"/>
      <c r="F57" s="87"/>
      <c r="G57" s="86"/>
      <c r="H57" s="86"/>
      <c r="I57" s="91"/>
      <c r="J57" s="106"/>
      <c r="K57" s="102"/>
      <c r="L57" s="102"/>
      <c r="M57" s="102"/>
      <c r="N57" s="102"/>
      <c r="O57" s="102"/>
      <c r="P57" s="102"/>
      <c r="Q57" s="93">
        <f t="shared" si="0"/>
        <v>0</v>
      </c>
      <c r="R57" s="95">
        <f t="shared" si="1"/>
        <v>0</v>
      </c>
      <c r="S57" s="97">
        <f t="shared" si="2"/>
        <v>0</v>
      </c>
      <c r="T57" s="27"/>
      <c r="U57" s="27"/>
      <c r="V57" s="27"/>
      <c r="W57" s="27"/>
      <c r="X57" s="27"/>
      <c r="Y57" s="27"/>
      <c r="Z57" s="27"/>
    </row>
    <row r="58" spans="1:26" ht="15" customHeight="1" x14ac:dyDescent="0.35">
      <c r="A58" s="83" t="s">
        <v>405</v>
      </c>
      <c r="B58" s="47" t="s">
        <v>406</v>
      </c>
      <c r="C58" s="1" t="s">
        <v>179</v>
      </c>
      <c r="D58" s="84"/>
      <c r="E58" s="86"/>
      <c r="F58" s="87"/>
      <c r="G58" s="86"/>
      <c r="H58" s="86"/>
      <c r="I58" s="91"/>
      <c r="J58" s="116"/>
      <c r="K58" s="102"/>
      <c r="L58" s="102"/>
      <c r="M58" s="102"/>
      <c r="N58" s="102"/>
      <c r="O58" s="102"/>
      <c r="P58" s="102"/>
      <c r="Q58" s="93">
        <f t="shared" si="0"/>
        <v>0</v>
      </c>
      <c r="R58" s="95">
        <f t="shared" si="1"/>
        <v>0</v>
      </c>
      <c r="S58" s="97">
        <f t="shared" si="2"/>
        <v>0</v>
      </c>
      <c r="T58" s="27"/>
      <c r="U58" s="27"/>
      <c r="V58" s="27"/>
      <c r="W58" s="27"/>
      <c r="X58" s="27"/>
      <c r="Y58" s="27"/>
      <c r="Z58" s="27"/>
    </row>
    <row r="59" spans="1:26" ht="15" customHeight="1" x14ac:dyDescent="0.35">
      <c r="A59" s="83" t="s">
        <v>409</v>
      </c>
      <c r="B59" s="132" t="s">
        <v>410</v>
      </c>
      <c r="C59" s="105" t="s">
        <v>412</v>
      </c>
      <c r="D59" s="86"/>
      <c r="E59" s="86"/>
      <c r="F59" s="87"/>
      <c r="G59" s="86"/>
      <c r="H59" s="86"/>
      <c r="I59" s="91"/>
      <c r="J59" s="100"/>
      <c r="K59" s="102"/>
      <c r="L59" s="102"/>
      <c r="M59" s="102"/>
      <c r="N59" s="102"/>
      <c r="O59" s="102"/>
      <c r="P59" s="102"/>
      <c r="Q59" s="93">
        <f t="shared" si="0"/>
        <v>0</v>
      </c>
      <c r="R59" s="95">
        <f t="shared" si="1"/>
        <v>0</v>
      </c>
      <c r="S59" s="97">
        <f t="shared" si="2"/>
        <v>0</v>
      </c>
      <c r="T59" s="27"/>
      <c r="U59" s="27"/>
      <c r="V59" s="27"/>
      <c r="W59" s="27"/>
      <c r="X59" s="27"/>
      <c r="Y59" s="27"/>
      <c r="Z59" s="27"/>
    </row>
    <row r="60" spans="1:26" ht="15" customHeight="1" x14ac:dyDescent="0.35">
      <c r="A60" s="83" t="s">
        <v>416</v>
      </c>
      <c r="B60" s="47" t="s">
        <v>417</v>
      </c>
      <c r="C60" s="105" t="s">
        <v>418</v>
      </c>
      <c r="D60" s="86"/>
      <c r="E60" s="86"/>
      <c r="F60" s="87"/>
      <c r="G60" s="86"/>
      <c r="H60" s="86"/>
      <c r="I60" s="91"/>
      <c r="J60" s="106"/>
      <c r="K60" s="102"/>
      <c r="L60" s="102"/>
      <c r="M60" s="102"/>
      <c r="N60" s="102"/>
      <c r="O60" s="102"/>
      <c r="P60" s="102"/>
      <c r="Q60" s="93">
        <f t="shared" si="0"/>
        <v>0</v>
      </c>
      <c r="R60" s="95">
        <f t="shared" si="1"/>
        <v>0</v>
      </c>
      <c r="S60" s="97">
        <f t="shared" si="2"/>
        <v>0</v>
      </c>
      <c r="T60" s="27"/>
      <c r="U60" s="27"/>
      <c r="V60" s="27"/>
      <c r="W60" s="27"/>
      <c r="X60" s="27"/>
      <c r="Y60" s="27"/>
      <c r="Z60" s="27"/>
    </row>
    <row r="61" spans="1:26" ht="15" customHeight="1" x14ac:dyDescent="0.35">
      <c r="A61" s="83" t="s">
        <v>423</v>
      </c>
      <c r="B61" s="98" t="s">
        <v>424</v>
      </c>
      <c r="C61" s="1" t="s">
        <v>381</v>
      </c>
      <c r="D61" s="86"/>
      <c r="E61" s="86"/>
      <c r="F61" s="87"/>
      <c r="G61" s="86"/>
      <c r="H61" s="86"/>
      <c r="I61" s="91"/>
      <c r="J61" s="128"/>
      <c r="K61" s="102"/>
      <c r="L61" s="102"/>
      <c r="M61" s="102"/>
      <c r="N61" s="102"/>
      <c r="O61" s="102"/>
      <c r="P61" s="102"/>
      <c r="Q61" s="93">
        <f t="shared" si="0"/>
        <v>0</v>
      </c>
      <c r="R61" s="95">
        <f t="shared" si="1"/>
        <v>0</v>
      </c>
      <c r="S61" s="97">
        <f t="shared" si="2"/>
        <v>0</v>
      </c>
      <c r="T61" s="27"/>
      <c r="U61" s="27"/>
      <c r="V61" s="27"/>
      <c r="W61" s="27"/>
      <c r="X61" s="27"/>
      <c r="Y61" s="27"/>
      <c r="Z61" s="27"/>
    </row>
    <row r="62" spans="1:26" ht="15" customHeight="1" x14ac:dyDescent="0.35">
      <c r="A62" s="83" t="s">
        <v>428</v>
      </c>
      <c r="B62" s="98" t="s">
        <v>429</v>
      </c>
      <c r="C62" s="1" t="s">
        <v>195</v>
      </c>
      <c r="D62" s="86"/>
      <c r="E62" s="86"/>
      <c r="F62" s="87"/>
      <c r="G62" s="86"/>
      <c r="H62" s="86"/>
      <c r="I62" s="91"/>
      <c r="J62" s="128"/>
      <c r="K62" s="102"/>
      <c r="L62" s="102"/>
      <c r="M62" s="102"/>
      <c r="N62" s="102"/>
      <c r="O62" s="102"/>
      <c r="P62" s="102"/>
      <c r="Q62" s="93">
        <f t="shared" si="0"/>
        <v>0</v>
      </c>
      <c r="R62" s="95">
        <f t="shared" si="1"/>
        <v>0</v>
      </c>
      <c r="S62" s="97">
        <f t="shared" si="2"/>
        <v>0</v>
      </c>
      <c r="T62" s="27"/>
      <c r="U62" s="27"/>
      <c r="V62" s="27"/>
      <c r="W62" s="27"/>
      <c r="X62" s="27"/>
      <c r="Y62" s="27"/>
      <c r="Z62" s="27"/>
    </row>
    <row r="63" spans="1:26" ht="15.75" customHeight="1" x14ac:dyDescent="0.35">
      <c r="A63" s="83" t="s">
        <v>431</v>
      </c>
      <c r="B63" s="47" t="s">
        <v>432</v>
      </c>
      <c r="C63" s="1" t="s">
        <v>140</v>
      </c>
      <c r="D63" s="84"/>
      <c r="E63" s="86"/>
      <c r="F63" s="87"/>
      <c r="G63" s="86"/>
      <c r="H63" s="86"/>
      <c r="I63" s="91"/>
      <c r="J63" s="116"/>
      <c r="K63" s="102"/>
      <c r="L63" s="102"/>
      <c r="M63" s="102"/>
      <c r="N63" s="102"/>
      <c r="O63" s="102"/>
      <c r="P63" s="102"/>
      <c r="Q63" s="93">
        <f t="shared" si="0"/>
        <v>0</v>
      </c>
      <c r="R63" s="95">
        <f t="shared" si="1"/>
        <v>0</v>
      </c>
      <c r="S63" s="97">
        <f t="shared" si="2"/>
        <v>0</v>
      </c>
      <c r="T63" s="27"/>
      <c r="U63" s="27"/>
      <c r="V63" s="27"/>
      <c r="W63" s="27"/>
      <c r="X63" s="27"/>
      <c r="Y63" s="27"/>
      <c r="Z63" s="27"/>
    </row>
    <row r="64" spans="1:26" ht="15.75" customHeight="1" x14ac:dyDescent="0.35">
      <c r="A64" s="83" t="s">
        <v>438</v>
      </c>
      <c r="B64" s="47" t="s">
        <v>439</v>
      </c>
      <c r="C64" s="1" t="s">
        <v>140</v>
      </c>
      <c r="D64" s="84"/>
      <c r="E64" s="86"/>
      <c r="F64" s="87"/>
      <c r="G64" s="86"/>
      <c r="H64" s="86"/>
      <c r="I64" s="91"/>
      <c r="J64" s="92"/>
      <c r="K64" s="32"/>
      <c r="L64" s="32"/>
      <c r="M64" s="32"/>
      <c r="N64" s="32"/>
      <c r="O64" s="32"/>
      <c r="P64" s="32"/>
      <c r="Q64" s="93">
        <f t="shared" si="0"/>
        <v>0</v>
      </c>
      <c r="R64" s="95">
        <f t="shared" si="1"/>
        <v>0</v>
      </c>
      <c r="S64" s="97">
        <f t="shared" si="2"/>
        <v>0</v>
      </c>
      <c r="T64" s="27"/>
      <c r="U64" s="27"/>
      <c r="V64" s="27"/>
      <c r="W64" s="27"/>
      <c r="X64" s="27"/>
      <c r="Y64" s="27"/>
      <c r="Z64" s="27"/>
    </row>
    <row r="65" spans="1:26" ht="15" customHeight="1" x14ac:dyDescent="0.35">
      <c r="A65" s="83" t="s">
        <v>444</v>
      </c>
      <c r="B65" s="47" t="s">
        <v>445</v>
      </c>
      <c r="C65" s="105" t="s">
        <v>446</v>
      </c>
      <c r="D65" s="86"/>
      <c r="E65" s="86"/>
      <c r="F65" s="87"/>
      <c r="G65" s="86"/>
      <c r="H65" s="86"/>
      <c r="I65" s="91"/>
      <c r="J65" s="106"/>
      <c r="K65" s="102"/>
      <c r="L65" s="102"/>
      <c r="M65" s="102"/>
      <c r="N65" s="102"/>
      <c r="O65" s="102"/>
      <c r="P65" s="102"/>
      <c r="Q65" s="93">
        <f t="shared" si="0"/>
        <v>0</v>
      </c>
      <c r="R65" s="95">
        <f t="shared" si="1"/>
        <v>0</v>
      </c>
      <c r="S65" s="97">
        <f t="shared" si="2"/>
        <v>0</v>
      </c>
      <c r="T65" s="27"/>
      <c r="U65" s="27"/>
      <c r="V65" s="27"/>
      <c r="W65" s="27"/>
      <c r="X65" s="27"/>
      <c r="Y65" s="27"/>
      <c r="Z65" s="27"/>
    </row>
    <row r="66" spans="1:26" ht="15" customHeight="1" x14ac:dyDescent="0.35">
      <c r="A66" s="83" t="s">
        <v>450</v>
      </c>
      <c r="B66" s="98" t="s">
        <v>451</v>
      </c>
      <c r="C66" s="1" t="s">
        <v>452</v>
      </c>
      <c r="D66" s="84"/>
      <c r="E66" s="86"/>
      <c r="F66" s="87"/>
      <c r="G66" s="86"/>
      <c r="H66" s="86"/>
      <c r="I66" s="91"/>
      <c r="J66" s="105"/>
      <c r="K66" s="32"/>
      <c r="L66" s="32"/>
      <c r="M66" s="32"/>
      <c r="N66" s="32"/>
      <c r="O66" s="32"/>
      <c r="P66" s="32"/>
      <c r="Q66" s="93">
        <f t="shared" si="0"/>
        <v>0</v>
      </c>
      <c r="R66" s="95">
        <f t="shared" si="1"/>
        <v>0</v>
      </c>
      <c r="S66" s="97">
        <f t="shared" si="2"/>
        <v>0</v>
      </c>
      <c r="T66" s="27"/>
      <c r="U66" s="27"/>
      <c r="V66" s="27"/>
      <c r="W66" s="27"/>
      <c r="X66" s="27"/>
      <c r="Y66" s="27"/>
      <c r="Z66" s="27"/>
    </row>
    <row r="67" spans="1:26" ht="15" customHeight="1" x14ac:dyDescent="0.35">
      <c r="A67" s="83" t="s">
        <v>456</v>
      </c>
      <c r="B67" s="47" t="s">
        <v>457</v>
      </c>
      <c r="C67" s="127" t="s">
        <v>458</v>
      </c>
      <c r="D67" s="105"/>
      <c r="E67" s="86"/>
      <c r="F67" s="86"/>
      <c r="G67" s="86"/>
      <c r="H67" s="86"/>
      <c r="I67" s="91"/>
      <c r="J67" s="86"/>
      <c r="K67" s="32"/>
      <c r="L67" s="32"/>
      <c r="M67" s="32"/>
      <c r="N67" s="32"/>
      <c r="O67" s="32"/>
      <c r="P67" s="32"/>
      <c r="Q67" s="93">
        <f t="shared" si="0"/>
        <v>0</v>
      </c>
      <c r="R67" s="95">
        <f t="shared" si="1"/>
        <v>0</v>
      </c>
      <c r="S67" s="97">
        <f t="shared" si="2"/>
        <v>0</v>
      </c>
      <c r="T67" s="27"/>
      <c r="U67" s="27"/>
      <c r="V67" s="27"/>
      <c r="W67" s="27"/>
      <c r="X67" s="27"/>
      <c r="Y67" s="27"/>
      <c r="Z67" s="27"/>
    </row>
    <row r="68" spans="1:26" ht="15" customHeight="1" x14ac:dyDescent="0.35">
      <c r="A68" s="83" t="s">
        <v>462</v>
      </c>
      <c r="B68" s="47" t="s">
        <v>463</v>
      </c>
      <c r="C68" s="105" t="s">
        <v>464</v>
      </c>
      <c r="D68" s="84"/>
      <c r="E68" s="86"/>
      <c r="F68" s="87"/>
      <c r="G68" s="86"/>
      <c r="H68" s="86"/>
      <c r="I68" s="91"/>
      <c r="J68" s="106"/>
      <c r="K68" s="102"/>
      <c r="L68" s="102"/>
      <c r="M68" s="102"/>
      <c r="N68" s="102"/>
      <c r="O68" s="102"/>
      <c r="P68" s="102"/>
      <c r="Q68" s="93">
        <f t="shared" si="0"/>
        <v>0</v>
      </c>
      <c r="R68" s="95">
        <f t="shared" si="1"/>
        <v>0</v>
      </c>
      <c r="S68" s="97">
        <f t="shared" si="2"/>
        <v>0</v>
      </c>
      <c r="T68" s="27"/>
      <c r="U68" s="27"/>
      <c r="V68" s="27"/>
      <c r="W68" s="27"/>
      <c r="X68" s="27"/>
      <c r="Y68" s="27"/>
      <c r="Z68" s="27"/>
    </row>
    <row r="69" spans="1:26" ht="15" customHeight="1" x14ac:dyDescent="0.35">
      <c r="A69" s="83" t="s">
        <v>469</v>
      </c>
      <c r="B69" s="47" t="s">
        <v>470</v>
      </c>
      <c r="C69" s="1" t="s">
        <v>471</v>
      </c>
      <c r="D69" s="84"/>
      <c r="E69" s="86"/>
      <c r="F69" s="87"/>
      <c r="G69" s="86"/>
      <c r="H69" s="86"/>
      <c r="I69" s="91"/>
      <c r="J69" s="116"/>
      <c r="K69" s="102"/>
      <c r="L69" s="102"/>
      <c r="M69" s="102"/>
      <c r="N69" s="102"/>
      <c r="O69" s="102"/>
      <c r="P69" s="102"/>
      <c r="Q69" s="93">
        <f t="shared" si="0"/>
        <v>0</v>
      </c>
      <c r="R69" s="95">
        <f t="shared" si="1"/>
        <v>0</v>
      </c>
      <c r="S69" s="97">
        <f t="shared" si="2"/>
        <v>0</v>
      </c>
      <c r="T69" s="27"/>
      <c r="U69" s="27"/>
      <c r="V69" s="27"/>
      <c r="W69" s="27"/>
      <c r="X69" s="27"/>
      <c r="Y69" s="27"/>
      <c r="Z69" s="27"/>
    </row>
    <row r="70" spans="1:26" ht="15" customHeight="1" x14ac:dyDescent="0.35">
      <c r="A70" s="83" t="s">
        <v>475</v>
      </c>
      <c r="B70" s="47" t="s">
        <v>476</v>
      </c>
      <c r="C70" s="1" t="s">
        <v>477</v>
      </c>
      <c r="D70" s="84"/>
      <c r="E70" s="86"/>
      <c r="F70" s="87"/>
      <c r="G70" s="86"/>
      <c r="H70" s="86"/>
      <c r="I70" s="91"/>
      <c r="J70" s="86"/>
      <c r="K70" s="32"/>
      <c r="L70" s="32"/>
      <c r="M70" s="32"/>
      <c r="N70" s="32"/>
      <c r="O70" s="32"/>
      <c r="P70" s="32"/>
      <c r="Q70" s="93">
        <f t="shared" si="0"/>
        <v>0</v>
      </c>
      <c r="R70" s="95">
        <f t="shared" si="1"/>
        <v>0</v>
      </c>
      <c r="S70" s="97">
        <f t="shared" si="2"/>
        <v>0</v>
      </c>
      <c r="T70" s="27"/>
      <c r="U70" s="27"/>
      <c r="V70" s="27"/>
      <c r="W70" s="27"/>
      <c r="X70" s="27"/>
      <c r="Y70" s="27"/>
      <c r="Z70" s="27"/>
    </row>
    <row r="71" spans="1:26" ht="15" customHeight="1" x14ac:dyDescent="0.35">
      <c r="A71" s="83" t="s">
        <v>479</v>
      </c>
      <c r="B71" s="47" t="s">
        <v>480</v>
      </c>
      <c r="C71" s="141" t="s">
        <v>179</v>
      </c>
      <c r="D71" s="142"/>
      <c r="E71" s="84"/>
      <c r="F71" s="84"/>
      <c r="G71" s="86"/>
      <c r="H71" s="86"/>
      <c r="I71" s="91"/>
      <c r="J71" s="143"/>
      <c r="K71" s="102"/>
      <c r="L71" s="102"/>
      <c r="M71" s="102"/>
      <c r="N71" s="102"/>
      <c r="O71" s="102"/>
      <c r="P71" s="102"/>
      <c r="Q71" s="93">
        <f t="shared" si="0"/>
        <v>0</v>
      </c>
      <c r="R71" s="95">
        <f t="shared" si="1"/>
        <v>0</v>
      </c>
      <c r="S71" s="97">
        <f t="shared" si="2"/>
        <v>0</v>
      </c>
      <c r="T71" s="27"/>
      <c r="U71" s="27"/>
      <c r="V71" s="27"/>
      <c r="W71" s="27"/>
      <c r="X71" s="27"/>
      <c r="Y71" s="27"/>
      <c r="Z71" s="27"/>
    </row>
    <row r="72" spans="1:26" ht="15" customHeight="1" x14ac:dyDescent="0.35">
      <c r="A72" s="83" t="s">
        <v>485</v>
      </c>
      <c r="B72" s="47" t="s">
        <v>486</v>
      </c>
      <c r="C72" s="105" t="s">
        <v>487</v>
      </c>
      <c r="D72" s="84"/>
      <c r="E72" s="86"/>
      <c r="F72" s="87"/>
      <c r="G72" s="86"/>
      <c r="H72" s="86"/>
      <c r="I72" s="91"/>
      <c r="J72" s="105"/>
      <c r="K72" s="32"/>
      <c r="L72" s="32"/>
      <c r="M72" s="32"/>
      <c r="N72" s="32"/>
      <c r="O72" s="32"/>
      <c r="P72" s="32"/>
      <c r="Q72" s="93">
        <f t="shared" si="0"/>
        <v>0</v>
      </c>
      <c r="R72" s="95">
        <f t="shared" si="1"/>
        <v>0</v>
      </c>
      <c r="S72" s="97">
        <f t="shared" si="2"/>
        <v>0</v>
      </c>
      <c r="T72" s="27"/>
      <c r="U72" s="27"/>
      <c r="V72" s="27"/>
      <c r="W72" s="27"/>
      <c r="X72" s="27"/>
      <c r="Y72" s="27"/>
      <c r="Z72" s="27"/>
    </row>
    <row r="73" spans="1:26" ht="15" customHeight="1" x14ac:dyDescent="0.35">
      <c r="A73" s="83" t="s">
        <v>492</v>
      </c>
      <c r="B73" s="112" t="s">
        <v>493</v>
      </c>
      <c r="C73" s="33" t="s">
        <v>131</v>
      </c>
      <c r="D73" s="86"/>
      <c r="E73" s="86"/>
      <c r="F73" s="87"/>
      <c r="G73" s="86"/>
      <c r="H73" s="86"/>
      <c r="I73" s="91"/>
      <c r="J73" s="106"/>
      <c r="K73" s="102"/>
      <c r="L73" s="102"/>
      <c r="M73" s="102"/>
      <c r="N73" s="102"/>
      <c r="O73" s="102"/>
      <c r="P73" s="102"/>
      <c r="Q73" s="93">
        <f t="shared" si="0"/>
        <v>0</v>
      </c>
      <c r="R73" s="95">
        <f t="shared" si="1"/>
        <v>0</v>
      </c>
      <c r="S73" s="97">
        <f t="shared" si="2"/>
        <v>0</v>
      </c>
      <c r="T73" s="27"/>
      <c r="U73" s="27"/>
      <c r="V73" s="27"/>
      <c r="W73" s="27"/>
      <c r="X73" s="27"/>
      <c r="Y73" s="27"/>
      <c r="Z73" s="27"/>
    </row>
    <row r="74" spans="1:26" ht="15" customHeight="1" x14ac:dyDescent="0.35">
      <c r="A74" s="83" t="s">
        <v>497</v>
      </c>
      <c r="B74" s="47" t="s">
        <v>465</v>
      </c>
      <c r="C74" s="1" t="s">
        <v>499</v>
      </c>
      <c r="D74" s="105"/>
      <c r="E74" s="86"/>
      <c r="F74" s="87"/>
      <c r="G74" s="86"/>
      <c r="H74" s="86"/>
      <c r="I74" s="91"/>
      <c r="J74" s="148"/>
      <c r="K74" s="102"/>
      <c r="L74" s="102"/>
      <c r="M74" s="102"/>
      <c r="N74" s="102"/>
      <c r="O74" s="102"/>
      <c r="P74" s="102"/>
      <c r="Q74" s="93">
        <f t="shared" si="0"/>
        <v>0</v>
      </c>
      <c r="R74" s="95">
        <f t="shared" si="1"/>
        <v>0</v>
      </c>
      <c r="S74" s="97">
        <f t="shared" si="2"/>
        <v>0</v>
      </c>
      <c r="T74" s="27"/>
      <c r="U74" s="27"/>
      <c r="V74" s="27"/>
      <c r="W74" s="27"/>
      <c r="X74" s="27"/>
      <c r="Y74" s="27"/>
      <c r="Z74" s="27"/>
    </row>
    <row r="75" spans="1:26" ht="15" customHeight="1" x14ac:dyDescent="0.35">
      <c r="A75" s="83" t="s">
        <v>503</v>
      </c>
      <c r="B75" s="47" t="s">
        <v>375</v>
      </c>
      <c r="C75" s="1" t="s">
        <v>488</v>
      </c>
      <c r="D75" s="84"/>
      <c r="E75" s="86"/>
      <c r="F75" s="87"/>
      <c r="G75" s="86"/>
      <c r="H75" s="86"/>
      <c r="I75" s="91"/>
      <c r="J75" s="92"/>
      <c r="K75" s="32"/>
      <c r="L75" s="32"/>
      <c r="M75" s="32"/>
      <c r="N75" s="32"/>
      <c r="O75" s="32"/>
      <c r="P75" s="32"/>
      <c r="Q75" s="93">
        <f t="shared" si="0"/>
        <v>0</v>
      </c>
      <c r="R75" s="95">
        <f t="shared" si="1"/>
        <v>0</v>
      </c>
      <c r="S75" s="97">
        <f t="shared" si="2"/>
        <v>0</v>
      </c>
      <c r="T75" s="27"/>
      <c r="U75" s="27"/>
      <c r="V75" s="27"/>
      <c r="W75" s="27"/>
      <c r="X75" s="27"/>
      <c r="Y75" s="27"/>
      <c r="Z75" s="27"/>
    </row>
    <row r="76" spans="1:26" ht="15" customHeight="1" x14ac:dyDescent="0.35">
      <c r="A76" s="83" t="s">
        <v>507</v>
      </c>
      <c r="B76" s="98" t="s">
        <v>508</v>
      </c>
      <c r="C76" s="1" t="s">
        <v>509</v>
      </c>
      <c r="D76" s="86"/>
      <c r="E76" s="86"/>
      <c r="F76" s="87"/>
      <c r="G76" s="86"/>
      <c r="H76" s="86"/>
      <c r="I76" s="91"/>
      <c r="J76" s="128"/>
      <c r="K76" s="102"/>
      <c r="L76" s="102"/>
      <c r="M76" s="102"/>
      <c r="N76" s="102"/>
      <c r="O76" s="102"/>
      <c r="P76" s="102"/>
      <c r="Q76" s="93">
        <f t="shared" si="0"/>
        <v>0</v>
      </c>
      <c r="R76" s="95">
        <f t="shared" si="1"/>
        <v>0</v>
      </c>
      <c r="S76" s="97">
        <f t="shared" si="2"/>
        <v>0</v>
      </c>
      <c r="T76" s="27"/>
      <c r="U76" s="27"/>
      <c r="V76" s="27"/>
      <c r="W76" s="27"/>
      <c r="X76" s="27"/>
      <c r="Y76" s="27"/>
      <c r="Z76" s="27"/>
    </row>
    <row r="77" spans="1:26" ht="15" customHeight="1" x14ac:dyDescent="0.35">
      <c r="A77" s="83" t="s">
        <v>513</v>
      </c>
      <c r="B77" s="47" t="s">
        <v>514</v>
      </c>
      <c r="C77" s="1" t="s">
        <v>515</v>
      </c>
      <c r="D77" s="142"/>
      <c r="E77" s="86"/>
      <c r="F77" s="105"/>
      <c r="G77" s="86"/>
      <c r="H77" s="86"/>
      <c r="I77" s="91"/>
      <c r="J77" s="86"/>
      <c r="K77" s="32"/>
      <c r="L77" s="32"/>
      <c r="M77" s="32"/>
      <c r="N77" s="32"/>
      <c r="O77" s="32"/>
      <c r="P77" s="32"/>
      <c r="Q77" s="93">
        <f t="shared" si="0"/>
        <v>0</v>
      </c>
      <c r="R77" s="95">
        <f t="shared" si="1"/>
        <v>0</v>
      </c>
      <c r="S77" s="97">
        <f t="shared" si="2"/>
        <v>0</v>
      </c>
      <c r="T77" s="27"/>
      <c r="U77" s="27"/>
      <c r="V77" s="27"/>
      <c r="W77" s="27"/>
      <c r="X77" s="27"/>
      <c r="Y77" s="27"/>
      <c r="Z77" s="27"/>
    </row>
    <row r="78" spans="1:26" ht="15" customHeight="1" x14ac:dyDescent="0.35">
      <c r="A78" s="83" t="s">
        <v>520</v>
      </c>
      <c r="B78" s="112" t="s">
        <v>521</v>
      </c>
      <c r="C78" s="33" t="s">
        <v>245</v>
      </c>
      <c r="D78" s="86"/>
      <c r="E78" s="86"/>
      <c r="F78" s="87"/>
      <c r="G78" s="86"/>
      <c r="H78" s="86"/>
      <c r="I78" s="91"/>
      <c r="J78" s="106"/>
      <c r="K78" s="102"/>
      <c r="L78" s="102"/>
      <c r="M78" s="102"/>
      <c r="N78" s="102"/>
      <c r="O78" s="102"/>
      <c r="P78" s="102"/>
      <c r="Q78" s="93">
        <f t="shared" si="0"/>
        <v>0</v>
      </c>
      <c r="R78" s="95">
        <f t="shared" si="1"/>
        <v>0</v>
      </c>
      <c r="S78" s="97">
        <f t="shared" si="2"/>
        <v>0</v>
      </c>
      <c r="T78" s="27"/>
      <c r="U78" s="27"/>
      <c r="V78" s="27"/>
      <c r="W78" s="27"/>
      <c r="X78" s="27"/>
      <c r="Y78" s="27"/>
      <c r="Z78" s="27"/>
    </row>
    <row r="79" spans="1:26" ht="15" customHeight="1" x14ac:dyDescent="0.35">
      <c r="A79" s="83" t="s">
        <v>525</v>
      </c>
      <c r="B79" s="132" t="s">
        <v>224</v>
      </c>
      <c r="C79" s="105" t="s">
        <v>526</v>
      </c>
      <c r="D79" s="86"/>
      <c r="E79" s="86"/>
      <c r="F79" s="87"/>
      <c r="G79" s="86"/>
      <c r="H79" s="86"/>
      <c r="I79" s="91"/>
      <c r="J79" s="106"/>
      <c r="K79" s="102"/>
      <c r="L79" s="102"/>
      <c r="M79" s="102"/>
      <c r="N79" s="102"/>
      <c r="O79" s="102"/>
      <c r="P79" s="102"/>
      <c r="Q79" s="93">
        <f t="shared" si="0"/>
        <v>0</v>
      </c>
      <c r="R79" s="95">
        <f t="shared" si="1"/>
        <v>0</v>
      </c>
      <c r="S79" s="97">
        <f t="shared" si="2"/>
        <v>0</v>
      </c>
      <c r="T79" s="27"/>
      <c r="U79" s="27"/>
      <c r="V79" s="27"/>
      <c r="W79" s="27"/>
      <c r="X79" s="27"/>
      <c r="Y79" s="27"/>
      <c r="Z79" s="27"/>
    </row>
    <row r="80" spans="1:26" ht="15" customHeight="1" x14ac:dyDescent="0.35">
      <c r="A80" s="83" t="s">
        <v>533</v>
      </c>
      <c r="B80" s="47" t="s">
        <v>353</v>
      </c>
      <c r="C80" s="1" t="s">
        <v>534</v>
      </c>
      <c r="D80" s="142"/>
      <c r="E80" s="84"/>
      <c r="F80" s="84"/>
      <c r="G80" s="86"/>
      <c r="H80" s="86"/>
      <c r="I80" s="91"/>
      <c r="J80" s="143"/>
      <c r="K80" s="102"/>
      <c r="L80" s="102"/>
      <c r="M80" s="102"/>
      <c r="N80" s="102"/>
      <c r="O80" s="102"/>
      <c r="P80" s="102"/>
      <c r="Q80" s="93">
        <f t="shared" si="0"/>
        <v>0</v>
      </c>
      <c r="R80" s="95">
        <f t="shared" si="1"/>
        <v>0</v>
      </c>
      <c r="S80" s="97">
        <f t="shared" si="2"/>
        <v>0</v>
      </c>
      <c r="T80" s="27"/>
      <c r="U80" s="27"/>
      <c r="V80" s="27"/>
      <c r="W80" s="27"/>
      <c r="X80" s="27"/>
      <c r="Y80" s="27"/>
      <c r="Z80" s="27"/>
    </row>
    <row r="81" spans="1:26" ht="15" customHeight="1" x14ac:dyDescent="0.35">
      <c r="A81" s="83" t="s">
        <v>540</v>
      </c>
      <c r="B81" s="112" t="s">
        <v>541</v>
      </c>
      <c r="C81" s="1" t="s">
        <v>542</v>
      </c>
      <c r="D81" s="84"/>
      <c r="E81" s="86"/>
      <c r="F81" s="87"/>
      <c r="G81" s="86"/>
      <c r="H81" s="86"/>
      <c r="I81" s="91"/>
      <c r="J81" s="86"/>
      <c r="K81" s="32"/>
      <c r="L81" s="32"/>
      <c r="M81" s="32"/>
      <c r="N81" s="32"/>
      <c r="O81" s="32"/>
      <c r="P81" s="32"/>
      <c r="Q81" s="93">
        <f t="shared" si="0"/>
        <v>0</v>
      </c>
      <c r="R81" s="95">
        <f t="shared" si="1"/>
        <v>0</v>
      </c>
      <c r="S81" s="97">
        <f t="shared" si="2"/>
        <v>0</v>
      </c>
      <c r="T81" s="27"/>
      <c r="U81" s="27"/>
      <c r="V81" s="27"/>
      <c r="W81" s="27"/>
      <c r="X81" s="27"/>
      <c r="Y81" s="27"/>
      <c r="Z81" s="27"/>
    </row>
    <row r="82" spans="1:26" ht="15" customHeight="1" x14ac:dyDescent="0.35">
      <c r="A82" s="83" t="s">
        <v>546</v>
      </c>
      <c r="B82" s="47" t="s">
        <v>199</v>
      </c>
      <c r="C82" s="1" t="s">
        <v>140</v>
      </c>
      <c r="D82" s="84"/>
      <c r="E82" s="86"/>
      <c r="F82" s="87"/>
      <c r="G82" s="86"/>
      <c r="H82" s="86"/>
      <c r="I82" s="91"/>
      <c r="J82" s="116"/>
      <c r="K82" s="102"/>
      <c r="L82" s="102"/>
      <c r="M82" s="102"/>
      <c r="N82" s="102"/>
      <c r="O82" s="102"/>
      <c r="P82" s="102"/>
      <c r="Q82" s="93">
        <f t="shared" si="0"/>
        <v>0</v>
      </c>
      <c r="R82" s="95">
        <f t="shared" si="1"/>
        <v>0</v>
      </c>
      <c r="S82" s="97">
        <f t="shared" si="2"/>
        <v>0</v>
      </c>
      <c r="T82" s="27"/>
      <c r="U82" s="27"/>
      <c r="V82" s="27"/>
      <c r="W82" s="27"/>
      <c r="X82" s="27"/>
      <c r="Y82" s="27"/>
      <c r="Z82" s="27"/>
    </row>
    <row r="83" spans="1:26" ht="15" customHeight="1" x14ac:dyDescent="0.35">
      <c r="A83" s="83" t="s">
        <v>549</v>
      </c>
      <c r="B83" s="47" t="s">
        <v>550</v>
      </c>
      <c r="C83" s="105" t="s">
        <v>552</v>
      </c>
      <c r="D83" s="86"/>
      <c r="E83" s="86"/>
      <c r="F83" s="87"/>
      <c r="G83" s="86"/>
      <c r="H83" s="86"/>
      <c r="I83" s="91"/>
      <c r="J83" s="106"/>
      <c r="K83" s="102"/>
      <c r="L83" s="102"/>
      <c r="M83" s="102"/>
      <c r="N83" s="102"/>
      <c r="O83" s="102"/>
      <c r="P83" s="102"/>
      <c r="Q83" s="93">
        <f t="shared" si="0"/>
        <v>0</v>
      </c>
      <c r="R83" s="95">
        <f t="shared" si="1"/>
        <v>0</v>
      </c>
      <c r="S83" s="97">
        <f t="shared" si="2"/>
        <v>0</v>
      </c>
      <c r="T83" s="27"/>
      <c r="U83" s="27"/>
      <c r="V83" s="27"/>
      <c r="W83" s="27"/>
      <c r="X83" s="27"/>
      <c r="Y83" s="27"/>
      <c r="Z83" s="27"/>
    </row>
    <row r="84" spans="1:26" ht="15" customHeight="1" x14ac:dyDescent="0.35">
      <c r="A84" s="83" t="s">
        <v>556</v>
      </c>
      <c r="B84" s="47" t="s">
        <v>557</v>
      </c>
      <c r="C84" s="33" t="s">
        <v>164</v>
      </c>
      <c r="D84" s="105"/>
      <c r="E84" s="86"/>
      <c r="F84" s="87"/>
      <c r="G84" s="86"/>
      <c r="H84" s="86"/>
      <c r="I84" s="91"/>
      <c r="J84" s="106"/>
      <c r="K84" s="102"/>
      <c r="L84" s="102"/>
      <c r="M84" s="102"/>
      <c r="N84" s="102"/>
      <c r="O84" s="102"/>
      <c r="P84" s="102"/>
      <c r="Q84" s="93">
        <f t="shared" si="0"/>
        <v>0</v>
      </c>
      <c r="R84" s="95">
        <f t="shared" si="1"/>
        <v>0</v>
      </c>
      <c r="S84" s="97">
        <f t="shared" si="2"/>
        <v>0</v>
      </c>
      <c r="T84" s="27"/>
      <c r="U84" s="27"/>
      <c r="V84" s="27"/>
      <c r="W84" s="27"/>
      <c r="X84" s="27"/>
      <c r="Y84" s="27"/>
      <c r="Z84" s="27"/>
    </row>
    <row r="85" spans="1:26" ht="15" customHeight="1" x14ac:dyDescent="0.35">
      <c r="A85" s="83" t="s">
        <v>565</v>
      </c>
      <c r="B85" s="47" t="s">
        <v>566</v>
      </c>
      <c r="C85" s="141" t="s">
        <v>567</v>
      </c>
      <c r="D85" s="159"/>
      <c r="E85" s="86"/>
      <c r="F85" s="87"/>
      <c r="G85" s="86"/>
      <c r="H85" s="86"/>
      <c r="I85" s="91"/>
      <c r="J85" s="161"/>
      <c r="K85" s="102"/>
      <c r="L85" s="102"/>
      <c r="M85" s="102"/>
      <c r="N85" s="102"/>
      <c r="O85" s="102"/>
      <c r="P85" s="102"/>
      <c r="Q85" s="93">
        <f t="shared" si="0"/>
        <v>0</v>
      </c>
      <c r="R85" s="95">
        <f t="shared" si="1"/>
        <v>0</v>
      </c>
      <c r="S85" s="97">
        <f t="shared" si="2"/>
        <v>0</v>
      </c>
      <c r="T85" s="27"/>
      <c r="U85" s="27"/>
      <c r="V85" s="27"/>
      <c r="W85" s="27"/>
      <c r="X85" s="27"/>
      <c r="Y85" s="27"/>
      <c r="Z85" s="27"/>
    </row>
    <row r="86" spans="1:26" ht="15" customHeight="1" x14ac:dyDescent="0.35">
      <c r="A86" s="83" t="s">
        <v>571</v>
      </c>
      <c r="B86" s="47" t="s">
        <v>572</v>
      </c>
      <c r="C86" s="105" t="s">
        <v>574</v>
      </c>
      <c r="D86" s="86"/>
      <c r="E86" s="86"/>
      <c r="F86" s="87"/>
      <c r="G86" s="86"/>
      <c r="H86" s="86"/>
      <c r="I86" s="91"/>
      <c r="J86" s="86"/>
      <c r="K86" s="32"/>
      <c r="L86" s="32"/>
      <c r="M86" s="32"/>
      <c r="N86" s="32"/>
      <c r="O86" s="32"/>
      <c r="P86" s="32"/>
      <c r="Q86" s="93">
        <f t="shared" si="0"/>
        <v>0</v>
      </c>
      <c r="R86" s="95">
        <f t="shared" si="1"/>
        <v>0</v>
      </c>
      <c r="S86" s="97">
        <f t="shared" si="2"/>
        <v>0</v>
      </c>
      <c r="T86" s="27"/>
      <c r="U86" s="27"/>
      <c r="V86" s="27"/>
      <c r="W86" s="27"/>
      <c r="X86" s="27"/>
      <c r="Y86" s="27"/>
      <c r="Z86" s="27"/>
    </row>
    <row r="87" spans="1:26" ht="15" customHeight="1" x14ac:dyDescent="0.35">
      <c r="A87" s="83" t="s">
        <v>576</v>
      </c>
      <c r="B87" s="112" t="s">
        <v>577</v>
      </c>
      <c r="C87" s="33" t="s">
        <v>131</v>
      </c>
      <c r="D87" s="86"/>
      <c r="E87" s="86"/>
      <c r="F87" s="87"/>
      <c r="G87" s="86"/>
      <c r="H87" s="86"/>
      <c r="I87" s="91"/>
      <c r="J87" s="106"/>
      <c r="K87" s="102"/>
      <c r="L87" s="102"/>
      <c r="M87" s="102"/>
      <c r="N87" s="102"/>
      <c r="O87" s="102"/>
      <c r="P87" s="102"/>
      <c r="Q87" s="93">
        <f t="shared" si="0"/>
        <v>0</v>
      </c>
      <c r="R87" s="95">
        <f t="shared" si="1"/>
        <v>0</v>
      </c>
      <c r="S87" s="97">
        <f t="shared" si="2"/>
        <v>0</v>
      </c>
      <c r="T87" s="27"/>
      <c r="U87" s="27"/>
      <c r="V87" s="27"/>
      <c r="W87" s="27"/>
      <c r="X87" s="27"/>
      <c r="Y87" s="27"/>
      <c r="Z87" s="27"/>
    </row>
    <row r="88" spans="1:26" ht="15" customHeight="1" x14ac:dyDescent="0.35">
      <c r="A88" s="83" t="s">
        <v>583</v>
      </c>
      <c r="B88" s="47" t="s">
        <v>586</v>
      </c>
      <c r="C88" s="105" t="s">
        <v>587</v>
      </c>
      <c r="D88" s="86"/>
      <c r="E88" s="86"/>
      <c r="F88" s="87"/>
      <c r="G88" s="86"/>
      <c r="H88" s="86"/>
      <c r="I88" s="91"/>
      <c r="J88" s="106"/>
      <c r="K88" s="102"/>
      <c r="L88" s="102"/>
      <c r="M88" s="102"/>
      <c r="N88" s="102"/>
      <c r="O88" s="102"/>
      <c r="P88" s="102"/>
      <c r="Q88" s="93">
        <f t="shared" si="0"/>
        <v>0</v>
      </c>
      <c r="R88" s="95">
        <f t="shared" si="1"/>
        <v>0</v>
      </c>
      <c r="S88" s="97">
        <f t="shared" si="2"/>
        <v>0</v>
      </c>
      <c r="T88" s="27"/>
      <c r="U88" s="27"/>
      <c r="V88" s="27"/>
      <c r="W88" s="27"/>
      <c r="X88" s="27"/>
      <c r="Y88" s="27"/>
      <c r="Z88" s="27"/>
    </row>
    <row r="89" spans="1:26" ht="15" customHeight="1" x14ac:dyDescent="0.35">
      <c r="A89" s="83" t="s">
        <v>592</v>
      </c>
      <c r="B89" s="47" t="s">
        <v>174</v>
      </c>
      <c r="C89" s="1" t="s">
        <v>595</v>
      </c>
      <c r="D89" s="84"/>
      <c r="E89" s="86"/>
      <c r="F89" s="87"/>
      <c r="G89" s="86"/>
      <c r="H89" s="86"/>
      <c r="I89" s="91"/>
      <c r="J89" s="116"/>
      <c r="K89" s="102"/>
      <c r="L89" s="102"/>
      <c r="M89" s="102"/>
      <c r="N89" s="102"/>
      <c r="O89" s="102"/>
      <c r="P89" s="102"/>
      <c r="Q89" s="93">
        <f t="shared" si="0"/>
        <v>0</v>
      </c>
      <c r="R89" s="95">
        <f t="shared" si="1"/>
        <v>0</v>
      </c>
      <c r="S89" s="97">
        <f t="shared" si="2"/>
        <v>0</v>
      </c>
      <c r="T89" s="27"/>
      <c r="U89" s="27"/>
      <c r="V89" s="27"/>
      <c r="W89" s="27"/>
      <c r="X89" s="27"/>
      <c r="Y89" s="27"/>
      <c r="Z89" s="27"/>
    </row>
    <row r="90" spans="1:26" ht="15" customHeight="1" x14ac:dyDescent="0.35">
      <c r="A90" s="83" t="s">
        <v>599</v>
      </c>
      <c r="B90" s="112" t="s">
        <v>600</v>
      </c>
      <c r="C90" s="33" t="s">
        <v>602</v>
      </c>
      <c r="D90" s="86"/>
      <c r="E90" s="86"/>
      <c r="F90" s="87"/>
      <c r="G90" s="86"/>
      <c r="H90" s="86"/>
      <c r="I90" s="91"/>
      <c r="J90" s="106"/>
      <c r="K90" s="102"/>
      <c r="L90" s="102"/>
      <c r="M90" s="102"/>
      <c r="N90" s="102"/>
      <c r="O90" s="102"/>
      <c r="P90" s="102"/>
      <c r="Q90" s="93">
        <f t="shared" si="0"/>
        <v>0</v>
      </c>
      <c r="R90" s="95">
        <f t="shared" si="1"/>
        <v>0</v>
      </c>
      <c r="S90" s="97">
        <f t="shared" si="2"/>
        <v>0</v>
      </c>
      <c r="T90" s="27"/>
      <c r="U90" s="27"/>
      <c r="V90" s="27"/>
      <c r="W90" s="27"/>
      <c r="X90" s="27"/>
      <c r="Y90" s="27"/>
      <c r="Z90" s="27"/>
    </row>
    <row r="91" spans="1:26" ht="15" customHeight="1" x14ac:dyDescent="0.35">
      <c r="A91" s="83" t="s">
        <v>606</v>
      </c>
      <c r="B91" s="47" t="s">
        <v>80</v>
      </c>
      <c r="C91" s="105" t="s">
        <v>164</v>
      </c>
      <c r="D91" s="86"/>
      <c r="E91" s="84"/>
      <c r="F91" s="84"/>
      <c r="G91" s="86"/>
      <c r="H91" s="86"/>
      <c r="I91" s="91"/>
      <c r="J91" s="106"/>
      <c r="K91" s="102"/>
      <c r="L91" s="102"/>
      <c r="M91" s="102"/>
      <c r="N91" s="102"/>
      <c r="O91" s="102"/>
      <c r="P91" s="102"/>
      <c r="Q91" s="93">
        <f t="shared" si="0"/>
        <v>0</v>
      </c>
      <c r="R91" s="95">
        <f t="shared" si="1"/>
        <v>0</v>
      </c>
      <c r="S91" s="97">
        <f t="shared" si="2"/>
        <v>0</v>
      </c>
      <c r="T91" s="27"/>
      <c r="U91" s="27"/>
      <c r="V91" s="27"/>
      <c r="W91" s="27"/>
      <c r="X91" s="27"/>
      <c r="Y91" s="27"/>
      <c r="Z91" s="27"/>
    </row>
    <row r="92" spans="1:26" ht="15" customHeight="1" x14ac:dyDescent="0.35">
      <c r="A92" s="83" t="s">
        <v>609</v>
      </c>
      <c r="B92" s="47" t="s">
        <v>236</v>
      </c>
      <c r="C92" s="1" t="s">
        <v>179</v>
      </c>
      <c r="D92" s="84"/>
      <c r="E92" s="86"/>
      <c r="F92" s="87"/>
      <c r="G92" s="86"/>
      <c r="H92" s="86"/>
      <c r="I92" s="91"/>
      <c r="J92" s="92"/>
      <c r="K92" s="32"/>
      <c r="L92" s="32"/>
      <c r="M92" s="32"/>
      <c r="N92" s="32"/>
      <c r="O92" s="32"/>
      <c r="P92" s="32"/>
      <c r="Q92" s="93">
        <f t="shared" si="0"/>
        <v>0</v>
      </c>
      <c r="R92" s="95">
        <f t="shared" si="1"/>
        <v>0</v>
      </c>
      <c r="S92" s="97">
        <f t="shared" si="2"/>
        <v>0</v>
      </c>
      <c r="T92" s="27"/>
      <c r="U92" s="27"/>
      <c r="V92" s="27"/>
      <c r="W92" s="27"/>
      <c r="X92" s="27"/>
      <c r="Y92" s="27"/>
      <c r="Z92" s="27"/>
    </row>
    <row r="93" spans="1:26" ht="15" customHeight="1" x14ac:dyDescent="0.35">
      <c r="A93" s="83" t="s">
        <v>614</v>
      </c>
      <c r="B93" s="47" t="s">
        <v>615</v>
      </c>
      <c r="C93" s="1" t="s">
        <v>179</v>
      </c>
      <c r="D93" s="84"/>
      <c r="E93" s="86"/>
      <c r="F93" s="87"/>
      <c r="G93" s="86"/>
      <c r="H93" s="86"/>
      <c r="I93" s="91"/>
      <c r="J93" s="116"/>
      <c r="K93" s="102"/>
      <c r="L93" s="102"/>
      <c r="M93" s="102"/>
      <c r="N93" s="102"/>
      <c r="O93" s="102"/>
      <c r="P93" s="102"/>
      <c r="Q93" s="93">
        <f t="shared" si="0"/>
        <v>0</v>
      </c>
      <c r="R93" s="95">
        <f t="shared" si="1"/>
        <v>0</v>
      </c>
      <c r="S93" s="97">
        <f t="shared" si="2"/>
        <v>0</v>
      </c>
      <c r="T93" s="27"/>
      <c r="U93" s="27"/>
      <c r="V93" s="27"/>
      <c r="W93" s="27"/>
      <c r="X93" s="27"/>
      <c r="Y93" s="27"/>
      <c r="Z93" s="27"/>
    </row>
    <row r="94" spans="1:26" ht="15" customHeight="1" x14ac:dyDescent="0.35">
      <c r="A94" s="83" t="s">
        <v>619</v>
      </c>
      <c r="B94" s="112" t="s">
        <v>30</v>
      </c>
      <c r="C94" s="1" t="s">
        <v>215</v>
      </c>
      <c r="D94" s="86"/>
      <c r="E94" s="86"/>
      <c r="F94" s="87"/>
      <c r="G94" s="86"/>
      <c r="H94" s="86"/>
      <c r="I94" s="91"/>
      <c r="J94" s="106"/>
      <c r="K94" s="102"/>
      <c r="L94" s="102"/>
      <c r="M94" s="102"/>
      <c r="N94" s="102"/>
      <c r="O94" s="102"/>
      <c r="P94" s="102"/>
      <c r="Q94" s="93">
        <f t="shared" si="0"/>
        <v>0</v>
      </c>
      <c r="R94" s="95">
        <f t="shared" si="1"/>
        <v>0</v>
      </c>
      <c r="S94" s="97">
        <f t="shared" si="2"/>
        <v>0</v>
      </c>
      <c r="T94" s="27"/>
      <c r="U94" s="27"/>
      <c r="V94" s="27"/>
      <c r="W94" s="27"/>
      <c r="X94" s="27"/>
      <c r="Y94" s="27"/>
      <c r="Z94" s="27"/>
    </row>
    <row r="95" spans="1:26" ht="15" customHeight="1" x14ac:dyDescent="0.35">
      <c r="A95" s="83" t="s">
        <v>621</v>
      </c>
      <c r="B95" s="47" t="s">
        <v>535</v>
      </c>
      <c r="C95" s="105" t="s">
        <v>113</v>
      </c>
      <c r="D95" s="84"/>
      <c r="E95" s="86"/>
      <c r="F95" s="87"/>
      <c r="G95" s="86"/>
      <c r="H95" s="86"/>
      <c r="I95" s="91"/>
      <c r="J95" s="116"/>
      <c r="K95" s="102"/>
      <c r="L95" s="102"/>
      <c r="M95" s="102"/>
      <c r="N95" s="102"/>
      <c r="O95" s="102"/>
      <c r="P95" s="102"/>
      <c r="Q95" s="93">
        <f t="shared" si="0"/>
        <v>0</v>
      </c>
      <c r="R95" s="95">
        <f t="shared" si="1"/>
        <v>0</v>
      </c>
      <c r="S95" s="97">
        <f t="shared" si="2"/>
        <v>0</v>
      </c>
      <c r="T95" s="27"/>
      <c r="U95" s="27"/>
      <c r="V95" s="27"/>
      <c r="W95" s="27"/>
      <c r="X95" s="27"/>
      <c r="Y95" s="27"/>
      <c r="Z95" s="27"/>
    </row>
    <row r="96" spans="1:26" ht="15" customHeight="1" x14ac:dyDescent="0.35">
      <c r="A96" s="83" t="s">
        <v>623</v>
      </c>
      <c r="B96" s="47" t="s">
        <v>610</v>
      </c>
      <c r="C96" s="105" t="s">
        <v>587</v>
      </c>
      <c r="D96" s="84"/>
      <c r="E96" s="84"/>
      <c r="F96" s="84"/>
      <c r="G96" s="86"/>
      <c r="H96" s="86"/>
      <c r="I96" s="91"/>
      <c r="J96" s="128"/>
      <c r="K96" s="102"/>
      <c r="L96" s="102"/>
      <c r="M96" s="102"/>
      <c r="N96" s="102"/>
      <c r="O96" s="102"/>
      <c r="P96" s="102"/>
      <c r="Q96" s="93">
        <f t="shared" si="0"/>
        <v>0</v>
      </c>
      <c r="R96" s="95">
        <f t="shared" si="1"/>
        <v>0</v>
      </c>
      <c r="S96" s="97">
        <f t="shared" si="2"/>
        <v>0</v>
      </c>
      <c r="T96" s="27"/>
      <c r="U96" s="27"/>
      <c r="V96" s="27"/>
      <c r="W96" s="27"/>
      <c r="X96" s="27"/>
      <c r="Y96" s="27"/>
      <c r="Z96" s="27"/>
    </row>
    <row r="97" spans="1:26" ht="15" customHeight="1" x14ac:dyDescent="0.35">
      <c r="A97" s="83" t="s">
        <v>626</v>
      </c>
      <c r="B97" s="98" t="s">
        <v>392</v>
      </c>
      <c r="C97" s="1" t="s">
        <v>488</v>
      </c>
      <c r="D97" s="86"/>
      <c r="E97" s="86"/>
      <c r="F97" s="87"/>
      <c r="G97" s="86"/>
      <c r="H97" s="86"/>
      <c r="I97" s="91"/>
      <c r="J97" s="92"/>
      <c r="K97" s="32"/>
      <c r="L97" s="32"/>
      <c r="M97" s="32"/>
      <c r="N97" s="32"/>
      <c r="O97" s="32"/>
      <c r="P97" s="32"/>
      <c r="Q97" s="93">
        <f t="shared" si="0"/>
        <v>0</v>
      </c>
      <c r="R97" s="95">
        <f t="shared" si="1"/>
        <v>0</v>
      </c>
      <c r="S97" s="97">
        <f t="shared" si="2"/>
        <v>0</v>
      </c>
      <c r="T97" s="27"/>
      <c r="U97" s="27"/>
      <c r="V97" s="27"/>
      <c r="W97" s="27"/>
      <c r="X97" s="27"/>
      <c r="Y97" s="27"/>
      <c r="Z97" s="27"/>
    </row>
    <row r="98" spans="1:26" ht="15" customHeight="1" x14ac:dyDescent="0.35">
      <c r="A98" s="83" t="s">
        <v>629</v>
      </c>
      <c r="B98" s="47" t="s">
        <v>528</v>
      </c>
      <c r="C98" s="141" t="s">
        <v>140</v>
      </c>
      <c r="D98" s="84"/>
      <c r="E98" s="86"/>
      <c r="F98" s="87"/>
      <c r="G98" s="86"/>
      <c r="H98" s="86"/>
      <c r="I98" s="91"/>
      <c r="J98" s="105"/>
      <c r="K98" s="32"/>
      <c r="L98" s="32"/>
      <c r="M98" s="32"/>
      <c r="N98" s="32"/>
      <c r="O98" s="32"/>
      <c r="P98" s="32"/>
      <c r="Q98" s="93">
        <f t="shared" si="0"/>
        <v>0</v>
      </c>
      <c r="R98" s="95">
        <f t="shared" si="1"/>
        <v>0</v>
      </c>
      <c r="S98" s="97">
        <f t="shared" si="2"/>
        <v>0</v>
      </c>
      <c r="T98" s="27"/>
      <c r="U98" s="27"/>
      <c r="V98" s="27"/>
      <c r="W98" s="27"/>
      <c r="X98" s="27"/>
      <c r="Y98" s="27"/>
      <c r="Z98" s="27"/>
    </row>
    <row r="99" spans="1:26" ht="15" customHeight="1" x14ac:dyDescent="0.35">
      <c r="A99" s="83" t="s">
        <v>633</v>
      </c>
      <c r="B99" s="112" t="s">
        <v>635</v>
      </c>
      <c r="C99" s="1" t="s">
        <v>245</v>
      </c>
      <c r="D99" s="84"/>
      <c r="E99" s="86"/>
      <c r="F99" s="86"/>
      <c r="G99" s="86"/>
      <c r="H99" s="86"/>
      <c r="I99" s="91"/>
      <c r="J99" s="106"/>
      <c r="K99" s="102"/>
      <c r="L99" s="102"/>
      <c r="M99" s="102"/>
      <c r="N99" s="102"/>
      <c r="O99" s="102"/>
      <c r="P99" s="102"/>
      <c r="Q99" s="93">
        <f t="shared" si="0"/>
        <v>0</v>
      </c>
      <c r="R99" s="95">
        <f t="shared" si="1"/>
        <v>0</v>
      </c>
      <c r="S99" s="97">
        <f t="shared" si="2"/>
        <v>0</v>
      </c>
      <c r="T99" s="27"/>
      <c r="U99" s="27"/>
      <c r="V99" s="27"/>
      <c r="W99" s="27"/>
      <c r="X99" s="27"/>
      <c r="Y99" s="27"/>
      <c r="Z99" s="27"/>
    </row>
    <row r="100" spans="1:26" ht="15" customHeight="1" x14ac:dyDescent="0.35">
      <c r="A100" s="83" t="s">
        <v>640</v>
      </c>
      <c r="B100" s="47" t="s">
        <v>63</v>
      </c>
      <c r="C100" s="1" t="s">
        <v>641</v>
      </c>
      <c r="D100" s="84"/>
      <c r="E100" s="86"/>
      <c r="F100" s="87"/>
      <c r="G100" s="86"/>
      <c r="H100" s="86"/>
      <c r="I100" s="91"/>
      <c r="J100" s="108"/>
      <c r="K100" s="32"/>
      <c r="L100" s="32"/>
      <c r="M100" s="32"/>
      <c r="N100" s="32"/>
      <c r="O100" s="32"/>
      <c r="P100" s="32"/>
      <c r="Q100" s="93">
        <f t="shared" si="0"/>
        <v>0</v>
      </c>
      <c r="R100" s="95">
        <f t="shared" si="1"/>
        <v>0</v>
      </c>
      <c r="S100" s="97">
        <f t="shared" si="2"/>
        <v>0</v>
      </c>
      <c r="T100" s="27"/>
      <c r="U100" s="27"/>
      <c r="V100" s="27"/>
      <c r="W100" s="27"/>
      <c r="X100" s="27"/>
      <c r="Y100" s="27"/>
      <c r="Z100" s="27"/>
    </row>
    <row r="101" spans="1:26" ht="15" customHeight="1" x14ac:dyDescent="0.35">
      <c r="A101" s="83" t="s">
        <v>644</v>
      </c>
      <c r="B101" s="47" t="s">
        <v>646</v>
      </c>
      <c r="C101" s="105" t="s">
        <v>647</v>
      </c>
      <c r="D101" s="86"/>
      <c r="E101" s="84"/>
      <c r="F101" s="84"/>
      <c r="G101" s="86"/>
      <c r="H101" s="86"/>
      <c r="I101" s="91"/>
      <c r="J101" s="106"/>
      <c r="K101" s="102"/>
      <c r="L101" s="102"/>
      <c r="M101" s="102"/>
      <c r="N101" s="102"/>
      <c r="O101" s="102"/>
      <c r="P101" s="102"/>
      <c r="Q101" s="93">
        <f t="shared" si="0"/>
        <v>0</v>
      </c>
      <c r="R101" s="95">
        <f t="shared" si="1"/>
        <v>0</v>
      </c>
      <c r="S101" s="97">
        <f t="shared" si="2"/>
        <v>0</v>
      </c>
      <c r="T101" s="27"/>
      <c r="U101" s="27"/>
      <c r="V101" s="27"/>
      <c r="W101" s="27"/>
      <c r="X101" s="27"/>
      <c r="Y101" s="27"/>
      <c r="Z101" s="27"/>
    </row>
    <row r="102" spans="1:26" ht="15" customHeight="1" x14ac:dyDescent="0.35">
      <c r="A102" s="83" t="s">
        <v>652</v>
      </c>
      <c r="B102" s="98" t="s">
        <v>653</v>
      </c>
      <c r="C102" s="1" t="s">
        <v>140</v>
      </c>
      <c r="D102" s="84"/>
      <c r="E102" s="87"/>
      <c r="F102" s="87"/>
      <c r="G102" s="86"/>
      <c r="H102" s="86"/>
      <c r="I102" s="91"/>
      <c r="J102" s="100"/>
      <c r="K102" s="102"/>
      <c r="L102" s="102"/>
      <c r="M102" s="102"/>
      <c r="N102" s="102"/>
      <c r="O102" s="102"/>
      <c r="P102" s="102"/>
      <c r="Q102" s="93">
        <f t="shared" si="0"/>
        <v>0</v>
      </c>
      <c r="R102" s="95">
        <f t="shared" si="1"/>
        <v>0</v>
      </c>
      <c r="S102" s="97">
        <f t="shared" si="2"/>
        <v>0</v>
      </c>
      <c r="T102" s="27"/>
      <c r="U102" s="27"/>
      <c r="V102" s="27"/>
      <c r="W102" s="27"/>
      <c r="X102" s="27"/>
      <c r="Y102" s="27"/>
      <c r="Z102" s="27"/>
    </row>
    <row r="103" spans="1:26" ht="15" customHeight="1" x14ac:dyDescent="0.35">
      <c r="A103" s="83" t="s">
        <v>659</v>
      </c>
      <c r="B103" s="47" t="s">
        <v>660</v>
      </c>
      <c r="C103" s="105" t="s">
        <v>245</v>
      </c>
      <c r="D103" s="86"/>
      <c r="E103" s="86"/>
      <c r="F103" s="105"/>
      <c r="G103" s="86"/>
      <c r="H103" s="86"/>
      <c r="I103" s="91"/>
      <c r="J103" s="106"/>
      <c r="K103" s="102"/>
      <c r="L103" s="102"/>
      <c r="M103" s="102"/>
      <c r="N103" s="102"/>
      <c r="O103" s="102"/>
      <c r="P103" s="102"/>
      <c r="Q103" s="93">
        <f t="shared" si="0"/>
        <v>0</v>
      </c>
      <c r="R103" s="95">
        <f t="shared" si="1"/>
        <v>0</v>
      </c>
      <c r="S103" s="97">
        <f t="shared" si="2"/>
        <v>0</v>
      </c>
      <c r="T103" s="27"/>
      <c r="U103" s="27"/>
      <c r="V103" s="27"/>
      <c r="W103" s="27"/>
      <c r="X103" s="27"/>
      <c r="Y103" s="27"/>
      <c r="Z103" s="27"/>
    </row>
    <row r="104" spans="1:26" ht="15" customHeight="1" x14ac:dyDescent="0.35">
      <c r="A104" s="83" t="s">
        <v>665</v>
      </c>
      <c r="B104" s="112" t="s">
        <v>666</v>
      </c>
      <c r="C104" s="1" t="s">
        <v>452</v>
      </c>
      <c r="D104" s="86"/>
      <c r="E104" s="86"/>
      <c r="F104" s="87"/>
      <c r="G104" s="86"/>
      <c r="H104" s="86"/>
      <c r="I104" s="91"/>
      <c r="J104" s="106"/>
      <c r="K104" s="102"/>
      <c r="L104" s="102"/>
      <c r="M104" s="102"/>
      <c r="N104" s="102"/>
      <c r="O104" s="102"/>
      <c r="P104" s="102"/>
      <c r="Q104" s="93">
        <f t="shared" si="0"/>
        <v>0</v>
      </c>
      <c r="R104" s="95">
        <f t="shared" si="1"/>
        <v>0</v>
      </c>
      <c r="S104" s="97">
        <f t="shared" si="2"/>
        <v>0</v>
      </c>
      <c r="T104" s="27"/>
      <c r="U104" s="27"/>
      <c r="V104" s="27"/>
      <c r="W104" s="27"/>
      <c r="X104" s="27"/>
      <c r="Y104" s="27"/>
      <c r="Z104" s="27"/>
    </row>
    <row r="105" spans="1:26" ht="15" customHeight="1" x14ac:dyDescent="0.35">
      <c r="A105" s="83" t="s">
        <v>671</v>
      </c>
      <c r="B105" s="112" t="s">
        <v>672</v>
      </c>
      <c r="C105" s="1" t="s">
        <v>673</v>
      </c>
      <c r="D105" s="86"/>
      <c r="E105" s="86"/>
      <c r="F105" s="87"/>
      <c r="G105" s="86"/>
      <c r="H105" s="86"/>
      <c r="I105" s="91"/>
      <c r="J105" s="106"/>
      <c r="K105" s="102"/>
      <c r="L105" s="102"/>
      <c r="M105" s="102"/>
      <c r="N105" s="102"/>
      <c r="O105" s="102"/>
      <c r="P105" s="102"/>
      <c r="Q105" s="93">
        <f t="shared" si="0"/>
        <v>0</v>
      </c>
      <c r="R105" s="95">
        <f t="shared" si="1"/>
        <v>0</v>
      </c>
      <c r="S105" s="97">
        <f t="shared" si="2"/>
        <v>0</v>
      </c>
      <c r="T105" s="27"/>
      <c r="U105" s="27"/>
      <c r="V105" s="27"/>
      <c r="W105" s="27"/>
      <c r="X105" s="27"/>
      <c r="Y105" s="27"/>
      <c r="Z105" s="27"/>
    </row>
    <row r="106" spans="1:26" ht="15" customHeight="1" x14ac:dyDescent="0.35">
      <c r="A106" s="83" t="s">
        <v>678</v>
      </c>
      <c r="B106" s="98" t="s">
        <v>679</v>
      </c>
      <c r="C106" s="1" t="s">
        <v>195</v>
      </c>
      <c r="D106" s="86"/>
      <c r="E106" s="86"/>
      <c r="F106" s="87"/>
      <c r="G106" s="86"/>
      <c r="H106" s="86"/>
      <c r="I106" s="91"/>
      <c r="J106" s="116"/>
      <c r="K106" s="102"/>
      <c r="L106" s="102"/>
      <c r="M106" s="102"/>
      <c r="N106" s="102"/>
      <c r="O106" s="102"/>
      <c r="P106" s="102"/>
      <c r="Q106" s="93">
        <f t="shared" si="0"/>
        <v>0</v>
      </c>
      <c r="R106" s="95">
        <f t="shared" si="1"/>
        <v>0</v>
      </c>
      <c r="S106" s="97">
        <f t="shared" si="2"/>
        <v>0</v>
      </c>
      <c r="T106" s="27"/>
      <c r="U106" s="27"/>
      <c r="V106" s="27"/>
      <c r="W106" s="27"/>
      <c r="X106" s="27"/>
      <c r="Y106" s="27"/>
      <c r="Z106" s="27"/>
    </row>
    <row r="107" spans="1:26" ht="15" customHeight="1" x14ac:dyDescent="0.35">
      <c r="A107" s="83" t="s">
        <v>681</v>
      </c>
      <c r="B107" s="47" t="s">
        <v>327</v>
      </c>
      <c r="C107" s="1" t="s">
        <v>179</v>
      </c>
      <c r="D107" s="142"/>
      <c r="E107" s="84"/>
      <c r="F107" s="84"/>
      <c r="G107" s="86"/>
      <c r="H107" s="86"/>
      <c r="I107" s="91"/>
      <c r="J107" s="143"/>
      <c r="K107" s="102"/>
      <c r="L107" s="102"/>
      <c r="M107" s="102"/>
      <c r="N107" s="102"/>
      <c r="O107" s="102"/>
      <c r="P107" s="102"/>
      <c r="Q107" s="93">
        <f t="shared" si="0"/>
        <v>0</v>
      </c>
      <c r="R107" s="95">
        <f t="shared" si="1"/>
        <v>0</v>
      </c>
      <c r="S107" s="97">
        <f t="shared" si="2"/>
        <v>0</v>
      </c>
      <c r="T107" s="27"/>
      <c r="U107" s="27"/>
      <c r="V107" s="27"/>
      <c r="W107" s="27"/>
      <c r="X107" s="27"/>
      <c r="Y107" s="27"/>
      <c r="Z107" s="27"/>
    </row>
    <row r="108" spans="1:26" ht="15" customHeight="1" x14ac:dyDescent="0.35">
      <c r="A108" s="83" t="s">
        <v>685</v>
      </c>
      <c r="B108" s="47" t="s">
        <v>687</v>
      </c>
      <c r="C108" s="1" t="s">
        <v>488</v>
      </c>
      <c r="D108" s="84"/>
      <c r="E108" s="86"/>
      <c r="F108" s="87"/>
      <c r="G108" s="86"/>
      <c r="H108" s="86"/>
      <c r="I108" s="91"/>
      <c r="J108" s="92"/>
      <c r="K108" s="32"/>
      <c r="L108" s="32"/>
      <c r="M108" s="32"/>
      <c r="N108" s="32"/>
      <c r="O108" s="32"/>
      <c r="P108" s="32"/>
      <c r="Q108" s="93">
        <f t="shared" si="0"/>
        <v>0</v>
      </c>
      <c r="R108" s="95">
        <f t="shared" si="1"/>
        <v>0</v>
      </c>
      <c r="S108" s="97">
        <f t="shared" si="2"/>
        <v>0</v>
      </c>
      <c r="T108" s="27"/>
      <c r="U108" s="27"/>
      <c r="V108" s="27"/>
      <c r="W108" s="27"/>
      <c r="X108" s="27"/>
      <c r="Y108" s="27"/>
      <c r="Z108" s="27"/>
    </row>
    <row r="109" spans="1:26" ht="15" customHeight="1" x14ac:dyDescent="0.35">
      <c r="A109" s="83" t="s">
        <v>691</v>
      </c>
      <c r="B109" s="47" t="s">
        <v>692</v>
      </c>
      <c r="C109" s="1" t="s">
        <v>693</v>
      </c>
      <c r="D109" s="84"/>
      <c r="E109" s="86"/>
      <c r="F109" s="87"/>
      <c r="G109" s="86"/>
      <c r="H109" s="86"/>
      <c r="I109" s="91"/>
      <c r="J109" s="108"/>
      <c r="K109" s="32"/>
      <c r="L109" s="32"/>
      <c r="M109" s="32"/>
      <c r="N109" s="32"/>
      <c r="O109" s="32"/>
      <c r="P109" s="32"/>
      <c r="Q109" s="93">
        <f t="shared" si="0"/>
        <v>0</v>
      </c>
      <c r="R109" s="95">
        <f t="shared" si="1"/>
        <v>0</v>
      </c>
      <c r="S109" s="97">
        <f t="shared" si="2"/>
        <v>0</v>
      </c>
      <c r="T109" s="27"/>
      <c r="U109" s="27"/>
      <c r="V109" s="27"/>
      <c r="W109" s="27"/>
      <c r="X109" s="27"/>
      <c r="Y109" s="27"/>
      <c r="Z109" s="27"/>
    </row>
    <row r="110" spans="1:26" ht="15" customHeight="1" x14ac:dyDescent="0.35">
      <c r="A110" s="83" t="s">
        <v>697</v>
      </c>
      <c r="B110" s="47" t="s">
        <v>698</v>
      </c>
      <c r="C110" s="105" t="s">
        <v>215</v>
      </c>
      <c r="D110" s="86"/>
      <c r="E110" s="86"/>
      <c r="F110" s="87"/>
      <c r="G110" s="86"/>
      <c r="H110" s="86"/>
      <c r="I110" s="91"/>
      <c r="J110" s="106"/>
      <c r="K110" s="102"/>
      <c r="L110" s="102"/>
      <c r="M110" s="102"/>
      <c r="N110" s="102"/>
      <c r="O110" s="102"/>
      <c r="P110" s="102"/>
      <c r="Q110" s="93">
        <f t="shared" si="0"/>
        <v>0</v>
      </c>
      <c r="R110" s="95">
        <f t="shared" si="1"/>
        <v>0</v>
      </c>
      <c r="S110" s="97">
        <f t="shared" si="2"/>
        <v>0</v>
      </c>
      <c r="T110" s="27"/>
      <c r="U110" s="27"/>
      <c r="V110" s="27"/>
      <c r="W110" s="27"/>
      <c r="X110" s="27"/>
      <c r="Y110" s="27"/>
      <c r="Z110" s="27"/>
    </row>
    <row r="111" spans="1:26" ht="15" customHeight="1" x14ac:dyDescent="0.35">
      <c r="A111" s="83" t="s">
        <v>704</v>
      </c>
      <c r="B111" s="47" t="s">
        <v>705</v>
      </c>
      <c r="C111" s="1" t="s">
        <v>179</v>
      </c>
      <c r="D111" s="84"/>
      <c r="E111" s="84"/>
      <c r="F111" s="84"/>
      <c r="G111" s="86"/>
      <c r="H111" s="86"/>
      <c r="I111" s="91"/>
      <c r="J111" s="143"/>
      <c r="K111" s="102"/>
      <c r="L111" s="102"/>
      <c r="M111" s="102"/>
      <c r="N111" s="102"/>
      <c r="O111" s="102"/>
      <c r="P111" s="102"/>
      <c r="Q111" s="93">
        <f t="shared" si="0"/>
        <v>0</v>
      </c>
      <c r="R111" s="95">
        <f t="shared" si="1"/>
        <v>0</v>
      </c>
      <c r="S111" s="97">
        <f t="shared" si="2"/>
        <v>0</v>
      </c>
      <c r="T111" s="27"/>
      <c r="U111" s="27"/>
      <c r="V111" s="27"/>
      <c r="W111" s="27"/>
      <c r="X111" s="27"/>
      <c r="Y111" s="27"/>
      <c r="Z111" s="27"/>
    </row>
    <row r="112" spans="1:26" ht="15" customHeight="1" x14ac:dyDescent="0.35">
      <c r="A112" s="83" t="s">
        <v>708</v>
      </c>
      <c r="B112" s="47" t="s">
        <v>710</v>
      </c>
      <c r="C112" s="1" t="s">
        <v>179</v>
      </c>
      <c r="D112" s="84"/>
      <c r="E112" s="86"/>
      <c r="F112" s="87"/>
      <c r="G112" s="86"/>
      <c r="H112" s="86"/>
      <c r="I112" s="91"/>
      <c r="J112" s="92"/>
      <c r="K112" s="32"/>
      <c r="L112" s="32"/>
      <c r="M112" s="32"/>
      <c r="N112" s="32"/>
      <c r="O112" s="32"/>
      <c r="P112" s="32"/>
      <c r="Q112" s="93">
        <f t="shared" si="0"/>
        <v>0</v>
      </c>
      <c r="R112" s="95">
        <f t="shared" si="1"/>
        <v>0</v>
      </c>
      <c r="S112" s="97">
        <f t="shared" si="2"/>
        <v>0</v>
      </c>
      <c r="T112" s="27"/>
      <c r="U112" s="27"/>
      <c r="V112" s="27"/>
      <c r="W112" s="27"/>
      <c r="X112" s="27"/>
      <c r="Y112" s="27"/>
      <c r="Z112" s="27"/>
    </row>
    <row r="113" spans="1:26" ht="15" customHeight="1" x14ac:dyDescent="0.35">
      <c r="A113" s="83"/>
      <c r="B113" s="47" t="s">
        <v>712</v>
      </c>
      <c r="C113" s="1" t="s">
        <v>713</v>
      </c>
      <c r="D113" s="84"/>
      <c r="E113" s="86"/>
      <c r="F113" s="87"/>
      <c r="G113" s="86"/>
      <c r="H113" s="86"/>
      <c r="I113" s="91"/>
      <c r="J113" s="92"/>
      <c r="K113" s="32"/>
      <c r="L113" s="32"/>
      <c r="M113" s="32"/>
      <c r="N113" s="32"/>
      <c r="O113" s="32"/>
      <c r="P113" s="32"/>
      <c r="Q113" s="93">
        <f t="shared" si="0"/>
        <v>0</v>
      </c>
      <c r="R113" s="95">
        <f t="shared" si="1"/>
        <v>0</v>
      </c>
      <c r="S113" s="97">
        <f t="shared" si="2"/>
        <v>0</v>
      </c>
      <c r="T113" s="27"/>
      <c r="U113" s="27"/>
      <c r="V113" s="27"/>
      <c r="W113" s="27"/>
      <c r="X113" s="27"/>
      <c r="Y113" s="27"/>
      <c r="Z113" s="27"/>
    </row>
    <row r="114" spans="1:26" ht="15" customHeight="1" x14ac:dyDescent="0.35">
      <c r="A114" s="83" t="s">
        <v>716</v>
      </c>
      <c r="B114" s="98" t="s">
        <v>717</v>
      </c>
      <c r="C114" s="1" t="s">
        <v>464</v>
      </c>
      <c r="D114" s="86"/>
      <c r="E114" s="86"/>
      <c r="F114" s="87"/>
      <c r="G114" s="86"/>
      <c r="H114" s="86"/>
      <c r="I114" s="91"/>
      <c r="J114" s="92"/>
      <c r="K114" s="32"/>
      <c r="L114" s="32"/>
      <c r="M114" s="32"/>
      <c r="N114" s="32"/>
      <c r="O114" s="32"/>
      <c r="P114" s="32"/>
      <c r="Q114" s="93">
        <f t="shared" si="0"/>
        <v>0</v>
      </c>
      <c r="R114" s="95">
        <f t="shared" si="1"/>
        <v>0</v>
      </c>
      <c r="S114" s="97">
        <f t="shared" si="2"/>
        <v>0</v>
      </c>
      <c r="T114" s="27"/>
      <c r="U114" s="27"/>
      <c r="V114" s="27"/>
      <c r="W114" s="27"/>
      <c r="X114" s="27"/>
      <c r="Y114" s="27"/>
      <c r="Z114" s="27"/>
    </row>
    <row r="115" spans="1:26" ht="15" customHeight="1" x14ac:dyDescent="0.35">
      <c r="A115" s="83" t="s">
        <v>720</v>
      </c>
      <c r="B115" s="47" t="s">
        <v>721</v>
      </c>
      <c r="C115" s="1" t="s">
        <v>179</v>
      </c>
      <c r="D115" s="105"/>
      <c r="E115" s="86"/>
      <c r="F115" s="87"/>
      <c r="G115" s="86"/>
      <c r="H115" s="86"/>
      <c r="I115" s="91"/>
      <c r="J115" s="106"/>
      <c r="K115" s="102"/>
      <c r="L115" s="102"/>
      <c r="M115" s="102"/>
      <c r="N115" s="102"/>
      <c r="O115" s="102"/>
      <c r="P115" s="102"/>
      <c r="Q115" s="93">
        <f t="shared" si="0"/>
        <v>0</v>
      </c>
      <c r="R115" s="95">
        <f t="shared" si="1"/>
        <v>0</v>
      </c>
      <c r="S115" s="97">
        <f t="shared" si="2"/>
        <v>0</v>
      </c>
      <c r="T115" s="27"/>
      <c r="U115" s="27"/>
      <c r="V115" s="27"/>
      <c r="W115" s="27"/>
      <c r="X115" s="27"/>
      <c r="Y115" s="27"/>
      <c r="Z115" s="27"/>
    </row>
    <row r="116" spans="1:26" ht="15" customHeight="1" x14ac:dyDescent="0.35">
      <c r="A116" s="83" t="s">
        <v>725</v>
      </c>
      <c r="B116" s="47" t="s">
        <v>232</v>
      </c>
      <c r="C116" s="1" t="s">
        <v>179</v>
      </c>
      <c r="D116" s="105"/>
      <c r="E116" s="86"/>
      <c r="F116" s="87"/>
      <c r="G116" s="86"/>
      <c r="H116" s="86"/>
      <c r="I116" s="91"/>
      <c r="J116" s="86"/>
      <c r="K116" s="32"/>
      <c r="L116" s="32"/>
      <c r="M116" s="32"/>
      <c r="N116" s="32"/>
      <c r="O116" s="32"/>
      <c r="P116" s="32"/>
      <c r="Q116" s="93">
        <f t="shared" si="0"/>
        <v>0</v>
      </c>
      <c r="R116" s="95">
        <f t="shared" si="1"/>
        <v>0</v>
      </c>
      <c r="S116" s="97">
        <f t="shared" si="2"/>
        <v>0</v>
      </c>
      <c r="T116" s="27"/>
      <c r="U116" s="27"/>
      <c r="V116" s="27"/>
      <c r="W116" s="27"/>
      <c r="X116" s="27"/>
      <c r="Y116" s="27"/>
      <c r="Z116" s="27"/>
    </row>
    <row r="117" spans="1:26" ht="15" customHeight="1" x14ac:dyDescent="0.35">
      <c r="A117" s="83" t="s">
        <v>729</v>
      </c>
      <c r="B117" s="47" t="s">
        <v>28</v>
      </c>
      <c r="C117" s="1" t="s">
        <v>245</v>
      </c>
      <c r="D117" s="84"/>
      <c r="E117" s="86"/>
      <c r="F117" s="105"/>
      <c r="G117" s="86"/>
      <c r="H117" s="86"/>
      <c r="I117" s="91"/>
      <c r="J117" s="116"/>
      <c r="K117" s="102"/>
      <c r="L117" s="102"/>
      <c r="M117" s="102"/>
      <c r="N117" s="102"/>
      <c r="O117" s="102"/>
      <c r="P117" s="102"/>
      <c r="Q117" s="93">
        <f t="shared" si="0"/>
        <v>0</v>
      </c>
      <c r="R117" s="95">
        <f t="shared" si="1"/>
        <v>0</v>
      </c>
      <c r="S117" s="97">
        <f t="shared" si="2"/>
        <v>0</v>
      </c>
      <c r="T117" s="27"/>
      <c r="U117" s="27"/>
      <c r="V117" s="27"/>
      <c r="W117" s="27"/>
      <c r="X117" s="27"/>
      <c r="Y117" s="27"/>
      <c r="Z117" s="27"/>
    </row>
    <row r="118" spans="1:26" ht="15" customHeight="1" x14ac:dyDescent="0.35">
      <c r="A118" s="83" t="s">
        <v>732</v>
      </c>
      <c r="B118" s="47" t="s">
        <v>99</v>
      </c>
      <c r="C118" s="33" t="s">
        <v>733</v>
      </c>
      <c r="D118" s="84"/>
      <c r="E118" s="86"/>
      <c r="F118" s="87"/>
      <c r="G118" s="86"/>
      <c r="H118" s="86"/>
      <c r="I118" s="91"/>
      <c r="J118" s="86"/>
      <c r="K118" s="32"/>
      <c r="L118" s="32"/>
      <c r="M118" s="32"/>
      <c r="N118" s="32"/>
      <c r="O118" s="32"/>
      <c r="P118" s="32"/>
      <c r="Q118" s="93">
        <f t="shared" si="0"/>
        <v>0</v>
      </c>
      <c r="R118" s="95">
        <f t="shared" si="1"/>
        <v>0</v>
      </c>
      <c r="S118" s="97">
        <f t="shared" si="2"/>
        <v>0</v>
      </c>
      <c r="T118" s="27"/>
      <c r="U118" s="27"/>
      <c r="V118" s="27"/>
      <c r="W118" s="27"/>
      <c r="X118" s="27"/>
      <c r="Y118" s="27"/>
      <c r="Z118" s="27"/>
    </row>
    <row r="119" spans="1:26" ht="15" customHeight="1" x14ac:dyDescent="0.35">
      <c r="A119" s="83" t="s">
        <v>736</v>
      </c>
      <c r="B119" s="47" t="s">
        <v>196</v>
      </c>
      <c r="C119" s="1" t="s">
        <v>179</v>
      </c>
      <c r="D119" s="84"/>
      <c r="E119" s="86"/>
      <c r="F119" s="87"/>
      <c r="G119" s="86"/>
      <c r="H119" s="86"/>
      <c r="I119" s="91"/>
      <c r="J119" s="116"/>
      <c r="K119" s="102"/>
      <c r="L119" s="102"/>
      <c r="M119" s="102"/>
      <c r="N119" s="102"/>
      <c r="O119" s="102"/>
      <c r="P119" s="102"/>
      <c r="Q119" s="93">
        <f t="shared" si="0"/>
        <v>0</v>
      </c>
      <c r="R119" s="95">
        <f t="shared" si="1"/>
        <v>0</v>
      </c>
      <c r="S119" s="97">
        <f t="shared" si="2"/>
        <v>0</v>
      </c>
      <c r="T119" s="27"/>
      <c r="U119" s="27"/>
      <c r="V119" s="27"/>
      <c r="W119" s="27"/>
      <c r="X119" s="27"/>
      <c r="Y119" s="27"/>
      <c r="Z119" s="27"/>
    </row>
    <row r="120" spans="1:26" ht="15" customHeight="1" x14ac:dyDescent="0.35">
      <c r="A120" s="83" t="s">
        <v>739</v>
      </c>
      <c r="B120" s="47" t="s">
        <v>740</v>
      </c>
      <c r="C120" s="1" t="s">
        <v>372</v>
      </c>
      <c r="D120" s="86"/>
      <c r="E120" s="86"/>
      <c r="F120" s="87"/>
      <c r="G120" s="86"/>
      <c r="H120" s="86"/>
      <c r="I120" s="91"/>
      <c r="J120" s="92"/>
      <c r="K120" s="32"/>
      <c r="L120" s="32"/>
      <c r="M120" s="32"/>
      <c r="N120" s="32"/>
      <c r="O120" s="32"/>
      <c r="P120" s="32"/>
      <c r="Q120" s="93">
        <f t="shared" si="0"/>
        <v>0</v>
      </c>
      <c r="R120" s="95">
        <f t="shared" si="1"/>
        <v>0</v>
      </c>
      <c r="S120" s="97">
        <f t="shared" si="2"/>
        <v>0</v>
      </c>
      <c r="T120" s="27"/>
      <c r="U120" s="27"/>
      <c r="V120" s="27"/>
      <c r="W120" s="27"/>
      <c r="X120" s="27"/>
      <c r="Y120" s="27"/>
      <c r="Z120" s="27"/>
    </row>
    <row r="121" spans="1:26" ht="15" customHeight="1" x14ac:dyDescent="0.35">
      <c r="A121" s="83" t="s">
        <v>745</v>
      </c>
      <c r="B121" s="47" t="s">
        <v>746</v>
      </c>
      <c r="C121" s="1" t="s">
        <v>747</v>
      </c>
      <c r="D121" s="84"/>
      <c r="E121" s="86"/>
      <c r="F121" s="87"/>
      <c r="G121" s="86"/>
      <c r="H121" s="86"/>
      <c r="I121" s="91"/>
      <c r="J121" s="116"/>
      <c r="K121" s="102"/>
      <c r="L121" s="102"/>
      <c r="M121" s="102"/>
      <c r="N121" s="102"/>
      <c r="O121" s="102"/>
      <c r="P121" s="102"/>
      <c r="Q121" s="93">
        <f t="shared" si="0"/>
        <v>0</v>
      </c>
      <c r="R121" s="95">
        <f t="shared" si="1"/>
        <v>0</v>
      </c>
      <c r="S121" s="97">
        <f t="shared" si="2"/>
        <v>0</v>
      </c>
      <c r="T121" s="27"/>
      <c r="U121" s="27"/>
      <c r="V121" s="27"/>
      <c r="W121" s="27"/>
      <c r="X121" s="27"/>
      <c r="Y121" s="27"/>
      <c r="Z121" s="27"/>
    </row>
    <row r="122" spans="1:26" ht="15" customHeight="1" x14ac:dyDescent="0.35">
      <c r="A122" s="83" t="s">
        <v>750</v>
      </c>
      <c r="B122" s="47" t="s">
        <v>522</v>
      </c>
      <c r="C122" s="1" t="s">
        <v>179</v>
      </c>
      <c r="D122" s="105"/>
      <c r="E122" s="86"/>
      <c r="F122" s="87"/>
      <c r="G122" s="86"/>
      <c r="H122" s="86"/>
      <c r="I122" s="91"/>
      <c r="J122" s="106"/>
      <c r="K122" s="102"/>
      <c r="L122" s="102"/>
      <c r="M122" s="102"/>
      <c r="N122" s="102"/>
      <c r="O122" s="102"/>
      <c r="P122" s="102"/>
      <c r="Q122" s="93">
        <f t="shared" si="0"/>
        <v>0</v>
      </c>
      <c r="R122" s="95">
        <f t="shared" si="1"/>
        <v>0</v>
      </c>
      <c r="S122" s="97">
        <f t="shared" si="2"/>
        <v>0</v>
      </c>
      <c r="T122" s="27"/>
      <c r="U122" s="27"/>
      <c r="V122" s="27"/>
      <c r="W122" s="27"/>
      <c r="X122" s="27"/>
      <c r="Y122" s="27"/>
      <c r="Z122" s="27"/>
    </row>
    <row r="123" spans="1:26" ht="15" customHeight="1" x14ac:dyDescent="0.35">
      <c r="A123" s="83" t="s">
        <v>751</v>
      </c>
      <c r="B123" s="47" t="s">
        <v>127</v>
      </c>
      <c r="C123" s="33" t="s">
        <v>590</v>
      </c>
      <c r="D123" s="86"/>
      <c r="E123" s="86"/>
      <c r="F123" s="87"/>
      <c r="G123" s="86"/>
      <c r="H123" s="86"/>
      <c r="I123" s="91"/>
      <c r="J123" s="106"/>
      <c r="K123" s="102"/>
      <c r="L123" s="102"/>
      <c r="M123" s="102"/>
      <c r="N123" s="102"/>
      <c r="O123" s="102"/>
      <c r="P123" s="102"/>
      <c r="Q123" s="93">
        <f t="shared" si="0"/>
        <v>0</v>
      </c>
      <c r="R123" s="95">
        <f t="shared" si="1"/>
        <v>0</v>
      </c>
      <c r="S123" s="97">
        <f t="shared" si="2"/>
        <v>0</v>
      </c>
      <c r="T123" s="27"/>
      <c r="U123" s="27"/>
      <c r="V123" s="27"/>
      <c r="W123" s="27"/>
      <c r="X123" s="27"/>
      <c r="Y123" s="27"/>
      <c r="Z123" s="27"/>
    </row>
    <row r="124" spans="1:26" ht="15" customHeight="1" x14ac:dyDescent="0.35">
      <c r="A124" s="83" t="s">
        <v>753</v>
      </c>
      <c r="B124" s="98" t="s">
        <v>754</v>
      </c>
      <c r="C124" s="1" t="s">
        <v>179</v>
      </c>
      <c r="D124" s="86"/>
      <c r="E124" s="86"/>
      <c r="F124" s="87"/>
      <c r="G124" s="86"/>
      <c r="H124" s="86"/>
      <c r="I124" s="91"/>
      <c r="J124" s="108"/>
      <c r="K124" s="32"/>
      <c r="L124" s="32"/>
      <c r="M124" s="32"/>
      <c r="N124" s="32"/>
      <c r="O124" s="32"/>
      <c r="P124" s="32"/>
      <c r="Q124" s="93">
        <f t="shared" si="0"/>
        <v>0</v>
      </c>
      <c r="R124" s="95">
        <f t="shared" si="1"/>
        <v>0</v>
      </c>
      <c r="S124" s="97">
        <f t="shared" si="2"/>
        <v>0</v>
      </c>
      <c r="T124" s="27"/>
      <c r="U124" s="27"/>
      <c r="V124" s="27"/>
      <c r="W124" s="27"/>
      <c r="X124" s="27"/>
      <c r="Y124" s="27"/>
      <c r="Z124" s="27"/>
    </row>
    <row r="125" spans="1:26" ht="15" customHeight="1" x14ac:dyDescent="0.35">
      <c r="A125" s="83" t="s">
        <v>756</v>
      </c>
      <c r="B125" s="47" t="s">
        <v>553</v>
      </c>
      <c r="C125" s="1" t="s">
        <v>179</v>
      </c>
      <c r="D125" s="84"/>
      <c r="E125" s="86"/>
      <c r="F125" s="87"/>
      <c r="G125" s="86"/>
      <c r="H125" s="86"/>
      <c r="I125" s="91"/>
      <c r="J125" s="92"/>
      <c r="K125" s="32"/>
      <c r="L125" s="32"/>
      <c r="M125" s="32"/>
      <c r="N125" s="32"/>
      <c r="O125" s="32"/>
      <c r="P125" s="32"/>
      <c r="Q125" s="93">
        <f t="shared" si="0"/>
        <v>0</v>
      </c>
      <c r="R125" s="95">
        <f t="shared" si="1"/>
        <v>0</v>
      </c>
      <c r="S125" s="97">
        <f t="shared" si="2"/>
        <v>0</v>
      </c>
      <c r="T125" s="27"/>
      <c r="U125" s="27"/>
      <c r="V125" s="27"/>
      <c r="W125" s="27"/>
      <c r="X125" s="27"/>
      <c r="Y125" s="27"/>
      <c r="Z125" s="27"/>
    </row>
    <row r="126" spans="1:26" ht="15" customHeight="1" x14ac:dyDescent="0.35">
      <c r="A126" s="83" t="s">
        <v>760</v>
      </c>
      <c r="B126" s="47" t="s">
        <v>761</v>
      </c>
      <c r="C126" s="1" t="s">
        <v>381</v>
      </c>
      <c r="D126" s="84"/>
      <c r="E126" s="105"/>
      <c r="F126" s="105"/>
      <c r="G126" s="86"/>
      <c r="H126" s="86"/>
      <c r="I126" s="91"/>
      <c r="J126" s="86"/>
      <c r="K126" s="32"/>
      <c r="L126" s="32"/>
      <c r="M126" s="32"/>
      <c r="N126" s="32"/>
      <c r="O126" s="32"/>
      <c r="P126" s="32"/>
      <c r="Q126" s="93">
        <f t="shared" si="0"/>
        <v>0</v>
      </c>
      <c r="R126" s="95">
        <f t="shared" si="1"/>
        <v>0</v>
      </c>
      <c r="S126" s="97">
        <f t="shared" si="2"/>
        <v>0</v>
      </c>
      <c r="T126" s="27"/>
      <c r="U126" s="27"/>
      <c r="V126" s="27"/>
      <c r="W126" s="27"/>
      <c r="X126" s="27"/>
      <c r="Y126" s="27"/>
      <c r="Z126" s="27"/>
    </row>
    <row r="127" spans="1:26" ht="15" customHeight="1" x14ac:dyDescent="0.35">
      <c r="A127" s="83" t="s">
        <v>763</v>
      </c>
      <c r="B127" s="47" t="s">
        <v>702</v>
      </c>
      <c r="C127" s="127" t="s">
        <v>488</v>
      </c>
      <c r="D127" s="86"/>
      <c r="E127" s="86"/>
      <c r="F127" s="87"/>
      <c r="G127" s="86"/>
      <c r="H127" s="86"/>
      <c r="I127" s="91"/>
      <c r="J127" s="86"/>
      <c r="K127" s="32"/>
      <c r="L127" s="32"/>
      <c r="M127" s="32"/>
      <c r="N127" s="32"/>
      <c r="O127" s="32"/>
      <c r="P127" s="32"/>
      <c r="Q127" s="93">
        <f t="shared" si="0"/>
        <v>0</v>
      </c>
      <c r="R127" s="95">
        <f t="shared" si="1"/>
        <v>0</v>
      </c>
      <c r="S127" s="97">
        <f t="shared" si="2"/>
        <v>0</v>
      </c>
      <c r="T127" s="27"/>
      <c r="U127" s="27"/>
      <c r="V127" s="27"/>
      <c r="W127" s="27"/>
      <c r="X127" s="27"/>
      <c r="Y127" s="27"/>
      <c r="Z127" s="27"/>
    </row>
    <row r="128" spans="1:26" ht="15" customHeight="1" x14ac:dyDescent="0.35">
      <c r="A128" s="83" t="s">
        <v>766</v>
      </c>
      <c r="B128" s="47" t="s">
        <v>340</v>
      </c>
      <c r="C128" s="1" t="s">
        <v>767</v>
      </c>
      <c r="D128" s="84"/>
      <c r="E128" s="86"/>
      <c r="F128" s="87"/>
      <c r="G128" s="86"/>
      <c r="H128" s="86"/>
      <c r="I128" s="91"/>
      <c r="J128" s="92"/>
      <c r="K128" s="32"/>
      <c r="L128" s="32"/>
      <c r="M128" s="32"/>
      <c r="N128" s="32"/>
      <c r="O128" s="32"/>
      <c r="P128" s="32"/>
      <c r="Q128" s="93">
        <f t="shared" si="0"/>
        <v>0</v>
      </c>
      <c r="R128" s="95">
        <f t="shared" si="1"/>
        <v>0</v>
      </c>
      <c r="S128" s="97">
        <f t="shared" si="2"/>
        <v>0</v>
      </c>
      <c r="T128" s="27"/>
      <c r="U128" s="27"/>
      <c r="V128" s="27"/>
      <c r="W128" s="27"/>
      <c r="X128" s="27"/>
      <c r="Y128" s="27"/>
      <c r="Z128" s="27"/>
    </row>
    <row r="129" spans="1:26" ht="15" customHeight="1" x14ac:dyDescent="0.35">
      <c r="A129" s="83" t="s">
        <v>775</v>
      </c>
      <c r="B129" s="47" t="s">
        <v>570</v>
      </c>
      <c r="C129" s="105" t="s">
        <v>776</v>
      </c>
      <c r="D129" s="86"/>
      <c r="E129" s="86"/>
      <c r="F129" s="87"/>
      <c r="G129" s="86"/>
      <c r="H129" s="86"/>
      <c r="I129" s="91"/>
      <c r="J129" s="106"/>
      <c r="K129" s="102"/>
      <c r="L129" s="102"/>
      <c r="M129" s="102"/>
      <c r="N129" s="102"/>
      <c r="O129" s="102"/>
      <c r="P129" s="102"/>
      <c r="Q129" s="93">
        <f t="shared" si="0"/>
        <v>0</v>
      </c>
      <c r="R129" s="95">
        <f t="shared" si="1"/>
        <v>0</v>
      </c>
      <c r="S129" s="97">
        <f t="shared" si="2"/>
        <v>0</v>
      </c>
      <c r="T129" s="27"/>
      <c r="U129" s="27"/>
      <c r="V129" s="27"/>
      <c r="W129" s="27"/>
      <c r="X129" s="27"/>
      <c r="Y129" s="27"/>
      <c r="Z129" s="27"/>
    </row>
    <row r="130" spans="1:26" ht="15" customHeight="1" x14ac:dyDescent="0.35">
      <c r="A130" s="83" t="s">
        <v>779</v>
      </c>
      <c r="B130" s="47" t="s">
        <v>262</v>
      </c>
      <c r="C130" s="1" t="s">
        <v>780</v>
      </c>
      <c r="D130" s="86"/>
      <c r="E130" s="86"/>
      <c r="F130" s="87"/>
      <c r="G130" s="86"/>
      <c r="H130" s="86"/>
      <c r="I130" s="91"/>
      <c r="J130" s="100"/>
      <c r="K130" s="102"/>
      <c r="L130" s="102"/>
      <c r="M130" s="102"/>
      <c r="N130" s="102"/>
      <c r="O130" s="102"/>
      <c r="P130" s="102"/>
      <c r="Q130" s="93">
        <f t="shared" si="0"/>
        <v>0</v>
      </c>
      <c r="R130" s="95">
        <f t="shared" si="1"/>
        <v>0</v>
      </c>
      <c r="S130" s="97">
        <f t="shared" si="2"/>
        <v>0</v>
      </c>
      <c r="T130" s="27"/>
      <c r="U130" s="27"/>
      <c r="V130" s="27"/>
      <c r="W130" s="27"/>
      <c r="X130" s="27"/>
      <c r="Y130" s="27"/>
      <c r="Z130" s="27"/>
    </row>
    <row r="131" spans="1:26" ht="15" customHeight="1" x14ac:dyDescent="0.35">
      <c r="A131" s="83" t="s">
        <v>784</v>
      </c>
      <c r="B131" s="47" t="s">
        <v>89</v>
      </c>
      <c r="C131" s="105" t="s">
        <v>164</v>
      </c>
      <c r="D131" s="86"/>
      <c r="E131" s="86"/>
      <c r="F131" s="87"/>
      <c r="G131" s="86"/>
      <c r="H131" s="86"/>
      <c r="I131" s="91"/>
      <c r="J131" s="106"/>
      <c r="K131" s="102"/>
      <c r="L131" s="102"/>
      <c r="M131" s="102"/>
      <c r="N131" s="102"/>
      <c r="O131" s="102"/>
      <c r="P131" s="102"/>
      <c r="Q131" s="93">
        <f t="shared" si="0"/>
        <v>0</v>
      </c>
      <c r="R131" s="95">
        <f t="shared" si="1"/>
        <v>0</v>
      </c>
      <c r="S131" s="97">
        <f t="shared" si="2"/>
        <v>0</v>
      </c>
      <c r="T131" s="27"/>
      <c r="U131" s="27"/>
      <c r="V131" s="27"/>
      <c r="W131" s="27"/>
      <c r="X131" s="27"/>
      <c r="Y131" s="27"/>
      <c r="Z131" s="27"/>
    </row>
    <row r="132" spans="1:26" ht="20.25" customHeight="1" x14ac:dyDescent="0.35">
      <c r="A132" s="83" t="s">
        <v>788</v>
      </c>
      <c r="B132" s="112" t="s">
        <v>789</v>
      </c>
      <c r="C132" s="33" t="s">
        <v>790</v>
      </c>
      <c r="D132" s="86"/>
      <c r="E132" s="86"/>
      <c r="F132" s="87"/>
      <c r="G132" s="86"/>
      <c r="H132" s="86"/>
      <c r="I132" s="91"/>
      <c r="J132" s="106"/>
      <c r="K132" s="102"/>
      <c r="L132" s="102"/>
      <c r="M132" s="102"/>
      <c r="N132" s="102"/>
      <c r="O132" s="102"/>
      <c r="P132" s="102"/>
      <c r="Q132" s="93">
        <f t="shared" si="0"/>
        <v>0</v>
      </c>
      <c r="R132" s="95">
        <f t="shared" si="1"/>
        <v>0</v>
      </c>
      <c r="S132" s="97">
        <f t="shared" si="2"/>
        <v>0</v>
      </c>
      <c r="T132" s="27"/>
      <c r="U132" s="27"/>
      <c r="V132" s="27"/>
      <c r="W132" s="27"/>
      <c r="X132" s="27"/>
      <c r="Y132" s="27"/>
      <c r="Z132" s="27"/>
    </row>
    <row r="133" spans="1:26" ht="14.25" customHeight="1" x14ac:dyDescent="0.35">
      <c r="A133" s="83" t="s">
        <v>798</v>
      </c>
      <c r="B133" s="47" t="s">
        <v>141</v>
      </c>
      <c r="C133" s="105" t="s">
        <v>799</v>
      </c>
      <c r="D133" s="86"/>
      <c r="E133" s="86"/>
      <c r="F133" s="87"/>
      <c r="G133" s="86"/>
      <c r="H133" s="86"/>
      <c r="I133" s="91"/>
      <c r="J133" s="106"/>
      <c r="K133" s="102"/>
      <c r="L133" s="102"/>
      <c r="M133" s="102"/>
      <c r="N133" s="102"/>
      <c r="O133" s="102"/>
      <c r="P133" s="102"/>
      <c r="Q133" s="93">
        <f t="shared" si="0"/>
        <v>0</v>
      </c>
      <c r="R133" s="95">
        <f t="shared" si="1"/>
        <v>0</v>
      </c>
      <c r="S133" s="97">
        <f t="shared" si="2"/>
        <v>0</v>
      </c>
      <c r="T133" s="27"/>
      <c r="U133" s="27"/>
      <c r="V133" s="27"/>
      <c r="W133" s="27"/>
      <c r="X133" s="27"/>
      <c r="Y133" s="27"/>
      <c r="Z133" s="27"/>
    </row>
    <row r="134" spans="1:26" ht="15" customHeight="1" x14ac:dyDescent="0.35">
      <c r="A134" s="83" t="s">
        <v>802</v>
      </c>
      <c r="B134" s="98" t="s">
        <v>270</v>
      </c>
      <c r="C134" s="218" t="s">
        <v>804</v>
      </c>
      <c r="D134" s="86"/>
      <c r="E134" s="86"/>
      <c r="F134" s="87"/>
      <c r="G134" s="86"/>
      <c r="H134" s="86"/>
      <c r="I134" s="91"/>
      <c r="J134" s="128"/>
      <c r="K134" s="102"/>
      <c r="L134" s="102"/>
      <c r="M134" s="102"/>
      <c r="N134" s="102"/>
      <c r="O134" s="102"/>
      <c r="P134" s="102"/>
      <c r="Q134" s="93">
        <f t="shared" si="0"/>
        <v>0</v>
      </c>
      <c r="R134" s="95">
        <f t="shared" si="1"/>
        <v>0</v>
      </c>
      <c r="S134" s="97">
        <f t="shared" si="2"/>
        <v>0</v>
      </c>
      <c r="T134" s="27"/>
      <c r="U134" s="27"/>
      <c r="V134" s="27"/>
      <c r="W134" s="27"/>
      <c r="X134" s="27"/>
      <c r="Y134" s="27"/>
      <c r="Z134" s="27"/>
    </row>
    <row r="135" spans="1:26" ht="15" customHeight="1" x14ac:dyDescent="0.35">
      <c r="A135" s="83" t="s">
        <v>812</v>
      </c>
      <c r="B135" s="98" t="s">
        <v>283</v>
      </c>
      <c r="C135" s="33" t="s">
        <v>813</v>
      </c>
      <c r="D135" s="84"/>
      <c r="E135" s="86"/>
      <c r="F135" s="87"/>
      <c r="G135" s="86"/>
      <c r="H135" s="86"/>
      <c r="I135" s="91"/>
      <c r="J135" s="100"/>
      <c r="K135" s="102"/>
      <c r="L135" s="102"/>
      <c r="M135" s="102"/>
      <c r="N135" s="102"/>
      <c r="O135" s="102"/>
      <c r="P135" s="102"/>
      <c r="Q135" s="93">
        <f t="shared" si="0"/>
        <v>0</v>
      </c>
      <c r="R135" s="95">
        <f t="shared" si="1"/>
        <v>0</v>
      </c>
      <c r="S135" s="97">
        <f t="shared" si="2"/>
        <v>0</v>
      </c>
      <c r="T135" s="27"/>
      <c r="U135" s="27"/>
      <c r="V135" s="27"/>
      <c r="W135" s="27"/>
      <c r="X135" s="27"/>
      <c r="Y135" s="27"/>
      <c r="Z135" s="27"/>
    </row>
    <row r="136" spans="1:26" ht="15" customHeight="1" x14ac:dyDescent="0.35">
      <c r="A136" s="83" t="s">
        <v>817</v>
      </c>
      <c r="B136" s="132" t="s">
        <v>819</v>
      </c>
      <c r="C136" s="105" t="s">
        <v>821</v>
      </c>
      <c r="D136" s="86"/>
      <c r="E136" s="86"/>
      <c r="F136" s="87"/>
      <c r="G136" s="86"/>
      <c r="H136" s="86"/>
      <c r="I136" s="91"/>
      <c r="J136" s="106"/>
      <c r="K136" s="102"/>
      <c r="L136" s="102"/>
      <c r="M136" s="102"/>
      <c r="N136" s="102"/>
      <c r="O136" s="102"/>
      <c r="P136" s="102"/>
      <c r="Q136" s="93">
        <f t="shared" si="0"/>
        <v>0</v>
      </c>
      <c r="R136" s="95">
        <f t="shared" si="1"/>
        <v>0</v>
      </c>
      <c r="S136" s="97">
        <f t="shared" si="2"/>
        <v>0</v>
      </c>
      <c r="T136" s="27"/>
      <c r="U136" s="27"/>
      <c r="V136" s="27"/>
      <c r="W136" s="27"/>
      <c r="X136" s="27"/>
      <c r="Y136" s="27"/>
      <c r="Z136" s="27"/>
    </row>
    <row r="137" spans="1:26" ht="14.25" customHeight="1" x14ac:dyDescent="0.35">
      <c r="A137" s="83" t="s">
        <v>824</v>
      </c>
      <c r="B137" s="98" t="s">
        <v>358</v>
      </c>
      <c r="C137" s="1" t="s">
        <v>195</v>
      </c>
      <c r="D137" s="84"/>
      <c r="E137" s="86"/>
      <c r="F137" s="87"/>
      <c r="G137" s="86"/>
      <c r="H137" s="86"/>
      <c r="I137" s="91"/>
      <c r="J137" s="100"/>
      <c r="K137" s="102"/>
      <c r="L137" s="102"/>
      <c r="M137" s="102"/>
      <c r="N137" s="102"/>
      <c r="O137" s="102"/>
      <c r="P137" s="102"/>
      <c r="Q137" s="93">
        <f t="shared" si="0"/>
        <v>0</v>
      </c>
      <c r="R137" s="95">
        <f t="shared" si="1"/>
        <v>0</v>
      </c>
      <c r="S137" s="97">
        <f t="shared" si="2"/>
        <v>0</v>
      </c>
      <c r="T137" s="27"/>
      <c r="U137" s="27"/>
      <c r="V137" s="27"/>
      <c r="W137" s="27"/>
      <c r="X137" s="27"/>
      <c r="Y137" s="27"/>
      <c r="Z137" s="27"/>
    </row>
    <row r="138" spans="1:26" ht="15" customHeight="1" x14ac:dyDescent="0.35">
      <c r="A138" s="83" t="s">
        <v>828</v>
      </c>
      <c r="B138" s="47" t="s">
        <v>632</v>
      </c>
      <c r="C138" s="1" t="s">
        <v>488</v>
      </c>
      <c r="D138" s="84"/>
      <c r="E138" s="86"/>
      <c r="F138" s="87"/>
      <c r="G138" s="86"/>
      <c r="H138" s="86"/>
      <c r="I138" s="91"/>
      <c r="J138" s="92"/>
      <c r="K138" s="32"/>
      <c r="L138" s="32"/>
      <c r="M138" s="32"/>
      <c r="N138" s="32"/>
      <c r="O138" s="32"/>
      <c r="P138" s="32"/>
      <c r="Q138" s="93">
        <f t="shared" si="0"/>
        <v>0</v>
      </c>
      <c r="R138" s="95">
        <f t="shared" si="1"/>
        <v>0</v>
      </c>
      <c r="S138" s="97">
        <f t="shared" si="2"/>
        <v>0</v>
      </c>
      <c r="T138" s="27"/>
      <c r="U138" s="27"/>
      <c r="V138" s="27"/>
      <c r="W138" s="27"/>
      <c r="X138" s="27"/>
      <c r="Y138" s="27"/>
      <c r="Z138" s="27"/>
    </row>
    <row r="139" spans="1:26" ht="14.25" customHeight="1" x14ac:dyDescent="0.35">
      <c r="A139" s="83" t="s">
        <v>834</v>
      </c>
      <c r="B139" s="112" t="s">
        <v>835</v>
      </c>
      <c r="C139" s="33" t="s">
        <v>113</v>
      </c>
      <c r="D139" s="86"/>
      <c r="E139" s="86"/>
      <c r="F139" s="87"/>
      <c r="G139" s="86"/>
      <c r="H139" s="86"/>
      <c r="I139" s="91"/>
      <c r="J139" s="106"/>
      <c r="K139" s="102"/>
      <c r="L139" s="102"/>
      <c r="M139" s="102"/>
      <c r="N139" s="102"/>
      <c r="O139" s="102"/>
      <c r="P139" s="102"/>
      <c r="Q139" s="93">
        <f t="shared" si="0"/>
        <v>0</v>
      </c>
      <c r="R139" s="95">
        <f t="shared" si="1"/>
        <v>0</v>
      </c>
      <c r="S139" s="97">
        <f t="shared" si="2"/>
        <v>0</v>
      </c>
      <c r="T139" s="27"/>
      <c r="U139" s="27"/>
      <c r="V139" s="27"/>
      <c r="W139" s="27"/>
      <c r="X139" s="27"/>
      <c r="Y139" s="27"/>
      <c r="Z139" s="27"/>
    </row>
    <row r="140" spans="1:26" ht="14.25" customHeight="1" x14ac:dyDescent="0.35">
      <c r="A140" s="83" t="s">
        <v>845</v>
      </c>
      <c r="B140" s="47" t="s">
        <v>391</v>
      </c>
      <c r="C140" s="105" t="s">
        <v>587</v>
      </c>
      <c r="D140" s="86"/>
      <c r="E140" s="84"/>
      <c r="F140" s="84"/>
      <c r="G140" s="86"/>
      <c r="H140" s="86"/>
      <c r="I140" s="91"/>
      <c r="J140" s="106"/>
      <c r="K140" s="102"/>
      <c r="L140" s="102"/>
      <c r="M140" s="102"/>
      <c r="N140" s="102"/>
      <c r="O140" s="102"/>
      <c r="P140" s="102"/>
      <c r="Q140" s="93">
        <f t="shared" si="0"/>
        <v>0</v>
      </c>
      <c r="R140" s="95">
        <f t="shared" si="1"/>
        <v>0</v>
      </c>
      <c r="S140" s="97">
        <f t="shared" si="2"/>
        <v>0</v>
      </c>
      <c r="T140" s="27"/>
      <c r="U140" s="27"/>
      <c r="V140" s="27"/>
      <c r="W140" s="27"/>
      <c r="X140" s="27"/>
      <c r="Y140" s="27"/>
      <c r="Z140" s="27"/>
    </row>
    <row r="141" spans="1:26" ht="14.25" customHeight="1" x14ac:dyDescent="0.35">
      <c r="A141" s="83" t="s">
        <v>851</v>
      </c>
      <c r="B141" s="47" t="s">
        <v>166</v>
      </c>
      <c r="C141" s="105" t="s">
        <v>381</v>
      </c>
      <c r="D141" s="84"/>
      <c r="E141" s="86"/>
      <c r="F141" s="87"/>
      <c r="G141" s="86"/>
      <c r="H141" s="86"/>
      <c r="I141" s="91"/>
      <c r="J141" s="86"/>
      <c r="K141" s="32"/>
      <c r="L141" s="32"/>
      <c r="M141" s="32"/>
      <c r="N141" s="32"/>
      <c r="O141" s="32"/>
      <c r="P141" s="32"/>
      <c r="Q141" s="93">
        <f t="shared" si="0"/>
        <v>0</v>
      </c>
      <c r="R141" s="95">
        <f t="shared" si="1"/>
        <v>0</v>
      </c>
      <c r="S141" s="97">
        <f t="shared" si="2"/>
        <v>0</v>
      </c>
      <c r="T141" s="27"/>
      <c r="U141" s="27"/>
      <c r="V141" s="27"/>
      <c r="W141" s="27"/>
      <c r="X141" s="27"/>
      <c r="Y141" s="27"/>
      <c r="Z141" s="27"/>
    </row>
    <row r="142" spans="1:26" ht="14.25" customHeight="1" x14ac:dyDescent="0.35">
      <c r="A142" s="83" t="s">
        <v>861</v>
      </c>
      <c r="B142" s="112" t="s">
        <v>719</v>
      </c>
      <c r="C142" s="1" t="s">
        <v>862</v>
      </c>
      <c r="D142" s="86"/>
      <c r="E142" s="86"/>
      <c r="F142" s="87"/>
      <c r="G142" s="86"/>
      <c r="H142" s="86"/>
      <c r="I142" s="91"/>
      <c r="J142" s="86"/>
      <c r="K142" s="32"/>
      <c r="L142" s="32"/>
      <c r="M142" s="32"/>
      <c r="N142" s="32"/>
      <c r="O142" s="32"/>
      <c r="P142" s="32"/>
      <c r="Q142" s="93">
        <f t="shared" si="0"/>
        <v>0</v>
      </c>
      <c r="R142" s="95">
        <f t="shared" si="1"/>
        <v>0</v>
      </c>
      <c r="S142" s="97">
        <f t="shared" si="2"/>
        <v>0</v>
      </c>
      <c r="T142" s="27"/>
      <c r="U142" s="27"/>
      <c r="V142" s="27"/>
      <c r="W142" s="27"/>
      <c r="X142" s="27"/>
      <c r="Y142" s="27"/>
      <c r="Z142" s="27"/>
    </row>
    <row r="143" spans="1:26" ht="14.25" customHeight="1" x14ac:dyDescent="0.35">
      <c r="A143" s="83" t="s">
        <v>867</v>
      </c>
      <c r="B143" s="47" t="s">
        <v>624</v>
      </c>
      <c r="C143" s="105" t="s">
        <v>868</v>
      </c>
      <c r="D143" s="86"/>
      <c r="E143" s="86"/>
      <c r="F143" s="87"/>
      <c r="G143" s="86"/>
      <c r="H143" s="86"/>
      <c r="I143" s="91"/>
      <c r="J143" s="106"/>
      <c r="K143" s="102"/>
      <c r="L143" s="102"/>
      <c r="M143" s="102"/>
      <c r="N143" s="102"/>
      <c r="O143" s="102"/>
      <c r="P143" s="102"/>
      <c r="Q143" s="93">
        <f t="shared" si="0"/>
        <v>0</v>
      </c>
      <c r="R143" s="95">
        <f t="shared" si="1"/>
        <v>0</v>
      </c>
      <c r="S143" s="97">
        <f t="shared" si="2"/>
        <v>0</v>
      </c>
      <c r="T143" s="27"/>
      <c r="U143" s="27"/>
      <c r="V143" s="27"/>
      <c r="W143" s="27"/>
      <c r="X143" s="27"/>
      <c r="Y143" s="27"/>
      <c r="Z143" s="27"/>
    </row>
    <row r="144" spans="1:26" ht="14.25" customHeight="1" x14ac:dyDescent="0.35">
      <c r="A144" s="83" t="s">
        <v>871</v>
      </c>
      <c r="B144" s="47" t="s">
        <v>161</v>
      </c>
      <c r="C144" s="1" t="s">
        <v>872</v>
      </c>
      <c r="D144" s="84"/>
      <c r="E144" s="86"/>
      <c r="F144" s="87"/>
      <c r="G144" s="86"/>
      <c r="H144" s="86"/>
      <c r="I144" s="91"/>
      <c r="J144" s="105"/>
      <c r="K144" s="32"/>
      <c r="L144" s="32"/>
      <c r="M144" s="32"/>
      <c r="N144" s="32"/>
      <c r="O144" s="32"/>
      <c r="P144" s="32"/>
      <c r="Q144" s="93">
        <f t="shared" si="0"/>
        <v>0</v>
      </c>
      <c r="R144" s="95">
        <f t="shared" si="1"/>
        <v>0</v>
      </c>
      <c r="S144" s="97">
        <f t="shared" si="2"/>
        <v>0</v>
      </c>
      <c r="T144" s="27"/>
      <c r="U144" s="27"/>
      <c r="V144" s="27"/>
      <c r="W144" s="27"/>
      <c r="X144" s="27"/>
      <c r="Y144" s="27"/>
      <c r="Z144" s="27"/>
    </row>
    <row r="145" spans="1:26" ht="14.25" customHeight="1" x14ac:dyDescent="0.35">
      <c r="A145" s="83" t="s">
        <v>878</v>
      </c>
      <c r="B145" s="47" t="s">
        <v>363</v>
      </c>
      <c r="C145" s="1" t="s">
        <v>412</v>
      </c>
      <c r="D145" s="84"/>
      <c r="E145" s="86"/>
      <c r="F145" s="87"/>
      <c r="G145" s="86"/>
      <c r="H145" s="86"/>
      <c r="I145" s="91"/>
      <c r="J145" s="116"/>
      <c r="K145" s="102"/>
      <c r="L145" s="102"/>
      <c r="M145" s="102"/>
      <c r="N145" s="102"/>
      <c r="O145" s="102"/>
      <c r="P145" s="102"/>
      <c r="Q145" s="93">
        <f t="shared" si="0"/>
        <v>0</v>
      </c>
      <c r="R145" s="95">
        <f t="shared" si="1"/>
        <v>0</v>
      </c>
      <c r="S145" s="97">
        <f t="shared" si="2"/>
        <v>0</v>
      </c>
      <c r="T145" s="27"/>
      <c r="U145" s="27"/>
      <c r="V145" s="27"/>
      <c r="W145" s="27"/>
      <c r="X145" s="27"/>
      <c r="Y145" s="27"/>
      <c r="Z145" s="27"/>
    </row>
    <row r="146" spans="1:26" ht="14.25" customHeight="1" x14ac:dyDescent="0.35">
      <c r="A146" s="83" t="s">
        <v>883</v>
      </c>
      <c r="B146" s="47" t="s">
        <v>884</v>
      </c>
      <c r="C146" s="1" t="s">
        <v>885</v>
      </c>
      <c r="D146" s="84"/>
      <c r="E146" s="86"/>
      <c r="F146" s="87"/>
      <c r="G146" s="86"/>
      <c r="H146" s="86"/>
      <c r="I146" s="91"/>
      <c r="J146" s="116"/>
      <c r="K146" s="102"/>
      <c r="L146" s="102"/>
      <c r="M146" s="102"/>
      <c r="N146" s="102"/>
      <c r="O146" s="102"/>
      <c r="P146" s="102"/>
      <c r="Q146" s="93">
        <f t="shared" si="0"/>
        <v>0</v>
      </c>
      <c r="R146" s="95">
        <f t="shared" si="1"/>
        <v>0</v>
      </c>
      <c r="S146" s="97">
        <f t="shared" si="2"/>
        <v>0</v>
      </c>
      <c r="T146" s="27"/>
      <c r="U146" s="27"/>
      <c r="V146" s="27"/>
      <c r="W146" s="27"/>
      <c r="X146" s="27"/>
      <c r="Y146" s="27"/>
      <c r="Z146" s="27"/>
    </row>
    <row r="147" spans="1:26" ht="15" customHeight="1" x14ac:dyDescent="0.35">
      <c r="A147" s="83" t="s">
        <v>234</v>
      </c>
      <c r="B147" s="112" t="s">
        <v>888</v>
      </c>
      <c r="C147" s="33" t="s">
        <v>889</v>
      </c>
      <c r="D147" s="86"/>
      <c r="E147" s="86"/>
      <c r="F147" s="87"/>
      <c r="G147" s="86"/>
      <c r="H147" s="86"/>
      <c r="I147" s="91"/>
      <c r="J147" s="106"/>
      <c r="K147" s="102"/>
      <c r="L147" s="102"/>
      <c r="M147" s="102"/>
      <c r="N147" s="102"/>
      <c r="O147" s="102"/>
      <c r="P147" s="102"/>
      <c r="Q147" s="93">
        <f t="shared" si="0"/>
        <v>0</v>
      </c>
      <c r="R147" s="95">
        <f t="shared" si="1"/>
        <v>0</v>
      </c>
      <c r="S147" s="97">
        <f t="shared" si="2"/>
        <v>0</v>
      </c>
      <c r="T147" s="27"/>
      <c r="U147" s="27"/>
      <c r="V147" s="27"/>
      <c r="W147" s="27"/>
      <c r="X147" s="27"/>
      <c r="Y147" s="27"/>
      <c r="Z147" s="27"/>
    </row>
    <row r="148" spans="1:26" ht="15" customHeight="1" x14ac:dyDescent="0.35">
      <c r="A148" s="83" t="s">
        <v>895</v>
      </c>
      <c r="B148" s="47" t="s">
        <v>382</v>
      </c>
      <c r="C148" s="33" t="s">
        <v>896</v>
      </c>
      <c r="D148" s="136"/>
      <c r="E148" s="86"/>
      <c r="F148" s="87"/>
      <c r="G148" s="86"/>
      <c r="H148" s="86"/>
      <c r="I148" s="91"/>
      <c r="J148" s="86"/>
      <c r="K148" s="32"/>
      <c r="L148" s="32"/>
      <c r="M148" s="32"/>
      <c r="N148" s="32"/>
      <c r="O148" s="32"/>
      <c r="P148" s="32"/>
      <c r="Q148" s="93">
        <f t="shared" si="0"/>
        <v>0</v>
      </c>
      <c r="R148" s="95">
        <f t="shared" si="1"/>
        <v>0</v>
      </c>
      <c r="S148" s="97">
        <f t="shared" si="2"/>
        <v>0</v>
      </c>
      <c r="T148" s="27"/>
      <c r="U148" s="27"/>
      <c r="V148" s="27"/>
      <c r="W148" s="27"/>
      <c r="X148" s="27"/>
      <c r="Y148" s="27"/>
      <c r="Z148" s="27"/>
    </row>
    <row r="149" spans="1:26" ht="15" customHeight="1" x14ac:dyDescent="0.35">
      <c r="A149" s="83" t="s">
        <v>903</v>
      </c>
      <c r="B149" s="98" t="s">
        <v>165</v>
      </c>
      <c r="C149" s="1" t="s">
        <v>140</v>
      </c>
      <c r="D149" s="84"/>
      <c r="E149" s="87"/>
      <c r="F149" s="87"/>
      <c r="G149" s="86"/>
      <c r="H149" s="86"/>
      <c r="I149" s="91"/>
      <c r="J149" s="100"/>
      <c r="K149" s="102"/>
      <c r="L149" s="102"/>
      <c r="M149" s="102"/>
      <c r="N149" s="102"/>
      <c r="O149" s="102"/>
      <c r="P149" s="102"/>
      <c r="Q149" s="93">
        <f t="shared" si="0"/>
        <v>0</v>
      </c>
      <c r="R149" s="95">
        <f t="shared" si="1"/>
        <v>0</v>
      </c>
      <c r="S149" s="97">
        <f t="shared" si="2"/>
        <v>0</v>
      </c>
      <c r="T149" s="27"/>
      <c r="U149" s="27"/>
      <c r="V149" s="27"/>
      <c r="W149" s="27"/>
      <c r="X149" s="27"/>
      <c r="Y149" s="27"/>
      <c r="Z149" s="27"/>
    </row>
    <row r="150" spans="1:26" ht="15" customHeight="1" x14ac:dyDescent="0.35">
      <c r="A150" s="83" t="s">
        <v>914</v>
      </c>
      <c r="B150" s="47" t="s">
        <v>554</v>
      </c>
      <c r="C150" s="1" t="s">
        <v>140</v>
      </c>
      <c r="D150" s="84"/>
      <c r="E150" s="86"/>
      <c r="F150" s="87"/>
      <c r="G150" s="86"/>
      <c r="H150" s="86"/>
      <c r="I150" s="91"/>
      <c r="J150" s="116"/>
      <c r="K150" s="102"/>
      <c r="L150" s="102"/>
      <c r="M150" s="102"/>
      <c r="N150" s="102"/>
      <c r="O150" s="102"/>
      <c r="P150" s="102"/>
      <c r="Q150" s="93">
        <f t="shared" si="0"/>
        <v>0</v>
      </c>
      <c r="R150" s="95">
        <f t="shared" si="1"/>
        <v>0</v>
      </c>
      <c r="S150" s="97">
        <f t="shared" si="2"/>
        <v>0</v>
      </c>
      <c r="T150" s="27"/>
      <c r="U150" s="27"/>
      <c r="V150" s="27"/>
      <c r="W150" s="27"/>
      <c r="X150" s="27"/>
      <c r="Y150" s="27"/>
      <c r="Z150" s="27"/>
    </row>
    <row r="151" spans="1:26" ht="15" customHeight="1" x14ac:dyDescent="0.35">
      <c r="A151" s="83" t="s">
        <v>918</v>
      </c>
      <c r="B151" s="112" t="s">
        <v>709</v>
      </c>
      <c r="C151" s="1" t="s">
        <v>919</v>
      </c>
      <c r="D151" s="142"/>
      <c r="E151" s="86"/>
      <c r="F151" s="87"/>
      <c r="G151" s="86"/>
      <c r="H151" s="86"/>
      <c r="I151" s="91"/>
      <c r="J151" s="86"/>
      <c r="K151" s="32"/>
      <c r="L151" s="32"/>
      <c r="M151" s="32"/>
      <c r="N151" s="32"/>
      <c r="O151" s="32"/>
      <c r="P151" s="32"/>
      <c r="Q151" s="93">
        <f t="shared" si="0"/>
        <v>0</v>
      </c>
      <c r="R151" s="95">
        <f t="shared" si="1"/>
        <v>0</v>
      </c>
      <c r="S151" s="97">
        <f t="shared" si="2"/>
        <v>0</v>
      </c>
      <c r="T151" s="27"/>
      <c r="U151" s="27"/>
      <c r="V151" s="27"/>
      <c r="W151" s="27"/>
      <c r="X151" s="27"/>
      <c r="Y151" s="27"/>
      <c r="Z151" s="27"/>
    </row>
    <row r="152" spans="1:26" ht="16.5" customHeight="1" x14ac:dyDescent="0.35">
      <c r="A152" s="83" t="s">
        <v>922</v>
      </c>
      <c r="B152" s="47" t="s">
        <v>335</v>
      </c>
      <c r="C152" s="1" t="s">
        <v>179</v>
      </c>
      <c r="D152" s="142"/>
      <c r="E152" s="84"/>
      <c r="F152" s="84"/>
      <c r="G152" s="86"/>
      <c r="H152" s="86"/>
      <c r="I152" s="91"/>
      <c r="J152" s="143"/>
      <c r="K152" s="102"/>
      <c r="L152" s="102"/>
      <c r="M152" s="102"/>
      <c r="N152" s="102"/>
      <c r="O152" s="102"/>
      <c r="P152" s="102"/>
      <c r="Q152" s="93">
        <f t="shared" si="0"/>
        <v>0</v>
      </c>
      <c r="R152" s="95">
        <f t="shared" si="1"/>
        <v>0</v>
      </c>
      <c r="S152" s="97">
        <f t="shared" si="2"/>
        <v>0</v>
      </c>
      <c r="T152" s="27"/>
      <c r="U152" s="27"/>
      <c r="V152" s="27"/>
      <c r="W152" s="27"/>
      <c r="X152" s="27"/>
      <c r="Y152" s="27"/>
      <c r="Z152" s="27"/>
    </row>
    <row r="153" spans="1:26" ht="16.5" customHeight="1" x14ac:dyDescent="0.35">
      <c r="A153" s="83" t="s">
        <v>926</v>
      </c>
      <c r="B153" s="47" t="s">
        <v>501</v>
      </c>
      <c r="C153" s="1" t="s">
        <v>140</v>
      </c>
      <c r="D153" s="84"/>
      <c r="E153" s="86"/>
      <c r="F153" s="87"/>
      <c r="G153" s="86"/>
      <c r="H153" s="86"/>
      <c r="I153" s="91"/>
      <c r="J153" s="92"/>
      <c r="K153" s="32"/>
      <c r="L153" s="32"/>
      <c r="M153" s="32"/>
      <c r="N153" s="32"/>
      <c r="O153" s="32"/>
      <c r="P153" s="32"/>
      <c r="Q153" s="93">
        <f t="shared" si="0"/>
        <v>0</v>
      </c>
      <c r="R153" s="95">
        <f t="shared" si="1"/>
        <v>0</v>
      </c>
      <c r="S153" s="97">
        <f t="shared" si="2"/>
        <v>0</v>
      </c>
      <c r="T153" s="27"/>
      <c r="U153" s="27"/>
      <c r="V153" s="27"/>
      <c r="W153" s="27"/>
      <c r="X153" s="27"/>
      <c r="Y153" s="27"/>
      <c r="Z153" s="27"/>
    </row>
    <row r="154" spans="1:26" ht="16.5" customHeight="1" x14ac:dyDescent="0.35">
      <c r="A154" s="83" t="s">
        <v>933</v>
      </c>
      <c r="B154" s="47" t="s">
        <v>934</v>
      </c>
      <c r="C154" s="1" t="s">
        <v>488</v>
      </c>
      <c r="D154" s="84"/>
      <c r="E154" s="86"/>
      <c r="F154" s="87"/>
      <c r="G154" s="86"/>
      <c r="H154" s="86"/>
      <c r="I154" s="91"/>
      <c r="J154" s="92"/>
      <c r="K154" s="32"/>
      <c r="L154" s="32"/>
      <c r="M154" s="32"/>
      <c r="N154" s="32"/>
      <c r="O154" s="32"/>
      <c r="P154" s="32"/>
      <c r="Q154" s="93">
        <f t="shared" si="0"/>
        <v>0</v>
      </c>
      <c r="R154" s="95">
        <f t="shared" si="1"/>
        <v>0</v>
      </c>
      <c r="S154" s="97">
        <f t="shared" si="2"/>
        <v>0</v>
      </c>
      <c r="T154" s="27"/>
      <c r="U154" s="27"/>
      <c r="V154" s="27"/>
      <c r="W154" s="27"/>
      <c r="X154" s="27"/>
      <c r="Y154" s="27"/>
      <c r="Z154" s="27"/>
    </row>
    <row r="155" spans="1:26" ht="16.5" customHeight="1" x14ac:dyDescent="0.35">
      <c r="A155" s="83" t="s">
        <v>940</v>
      </c>
      <c r="B155" s="47" t="s">
        <v>638</v>
      </c>
      <c r="C155" s="1" t="s">
        <v>488</v>
      </c>
      <c r="D155" s="84"/>
      <c r="E155" s="86"/>
      <c r="F155" s="87"/>
      <c r="G155" s="86"/>
      <c r="H155" s="86"/>
      <c r="I155" s="91"/>
      <c r="J155" s="92"/>
      <c r="K155" s="32"/>
      <c r="L155" s="32"/>
      <c r="M155" s="32"/>
      <c r="N155" s="32"/>
      <c r="O155" s="32"/>
      <c r="P155" s="32"/>
      <c r="Q155" s="93">
        <f t="shared" si="0"/>
        <v>0</v>
      </c>
      <c r="R155" s="95">
        <f t="shared" si="1"/>
        <v>0</v>
      </c>
      <c r="S155" s="97">
        <f t="shared" si="2"/>
        <v>0</v>
      </c>
      <c r="T155" s="27"/>
      <c r="U155" s="27"/>
      <c r="V155" s="27"/>
      <c r="W155" s="27"/>
      <c r="X155" s="27"/>
      <c r="Y155" s="27"/>
      <c r="Z155" s="27"/>
    </row>
    <row r="156" spans="1:26" ht="15" customHeight="1" x14ac:dyDescent="0.35">
      <c r="A156" s="83" t="s">
        <v>945</v>
      </c>
      <c r="B156" s="132" t="s">
        <v>946</v>
      </c>
      <c r="C156" s="105" t="s">
        <v>245</v>
      </c>
      <c r="D156" s="86"/>
      <c r="E156" s="86"/>
      <c r="F156" s="87"/>
      <c r="G156" s="86"/>
      <c r="H156" s="86"/>
      <c r="I156" s="91"/>
      <c r="J156" s="106"/>
      <c r="K156" s="102"/>
      <c r="L156" s="102"/>
      <c r="M156" s="102"/>
      <c r="N156" s="102"/>
      <c r="O156" s="102"/>
      <c r="P156" s="102"/>
      <c r="Q156" s="93">
        <f t="shared" si="0"/>
        <v>0</v>
      </c>
      <c r="R156" s="95">
        <f t="shared" si="1"/>
        <v>0</v>
      </c>
      <c r="S156" s="97">
        <f t="shared" si="2"/>
        <v>0</v>
      </c>
      <c r="T156" s="27"/>
      <c r="U156" s="27"/>
      <c r="V156" s="27"/>
      <c r="W156" s="27"/>
      <c r="X156" s="27"/>
      <c r="Y156" s="27"/>
      <c r="Z156" s="27"/>
    </row>
    <row r="157" spans="1:26" ht="16.5" customHeight="1" x14ac:dyDescent="0.35">
      <c r="A157" s="83" t="s">
        <v>953</v>
      </c>
      <c r="B157" s="98" t="s">
        <v>588</v>
      </c>
      <c r="C157" s="1"/>
      <c r="D157" s="84"/>
      <c r="E157" s="86"/>
      <c r="F157" s="87"/>
      <c r="G157" s="86"/>
      <c r="H157" s="86"/>
      <c r="I157" s="91"/>
      <c r="J157" s="128"/>
      <c r="K157" s="102"/>
      <c r="L157" s="102"/>
      <c r="M157" s="102"/>
      <c r="N157" s="102"/>
      <c r="O157" s="102"/>
      <c r="P157" s="102"/>
      <c r="Q157" s="93">
        <f t="shared" si="0"/>
        <v>0</v>
      </c>
      <c r="R157" s="95">
        <f t="shared" si="1"/>
        <v>0</v>
      </c>
      <c r="S157" s="97">
        <f t="shared" si="2"/>
        <v>0</v>
      </c>
      <c r="T157" s="27"/>
      <c r="U157" s="27"/>
      <c r="V157" s="27"/>
      <c r="W157" s="27"/>
      <c r="X157" s="27"/>
      <c r="Y157" s="27"/>
      <c r="Z157" s="27"/>
    </row>
    <row r="158" spans="1:26" ht="15" customHeight="1" x14ac:dyDescent="0.35">
      <c r="A158" s="83" t="s">
        <v>957</v>
      </c>
      <c r="B158" s="112" t="s">
        <v>630</v>
      </c>
      <c r="C158" s="33" t="s">
        <v>958</v>
      </c>
      <c r="D158" s="86"/>
      <c r="E158" s="86"/>
      <c r="F158" s="86"/>
      <c r="G158" s="86"/>
      <c r="H158" s="86"/>
      <c r="I158" s="91"/>
      <c r="J158" s="106"/>
      <c r="K158" s="102"/>
      <c r="L158" s="102"/>
      <c r="M158" s="102"/>
      <c r="N158" s="102"/>
      <c r="O158" s="102"/>
      <c r="P158" s="102"/>
      <c r="Q158" s="93">
        <f t="shared" si="0"/>
        <v>0</v>
      </c>
      <c r="R158" s="95">
        <f t="shared" si="1"/>
        <v>0</v>
      </c>
      <c r="S158" s="97">
        <f t="shared" si="2"/>
        <v>0</v>
      </c>
      <c r="T158" s="27"/>
      <c r="U158" s="27"/>
      <c r="V158" s="27"/>
      <c r="W158" s="27"/>
      <c r="X158" s="27"/>
      <c r="Y158" s="27"/>
      <c r="Z158" s="27"/>
    </row>
    <row r="159" spans="1:26" ht="15" customHeight="1" x14ac:dyDescent="0.35">
      <c r="A159" s="83" t="s">
        <v>962</v>
      </c>
      <c r="B159" s="98" t="s">
        <v>963</v>
      </c>
      <c r="C159" s="1" t="s">
        <v>590</v>
      </c>
      <c r="D159" s="86"/>
      <c r="E159" s="86"/>
      <c r="F159" s="87"/>
      <c r="G159" s="86"/>
      <c r="H159" s="86"/>
      <c r="I159" s="91"/>
      <c r="J159" s="128"/>
      <c r="K159" s="102"/>
      <c r="L159" s="102"/>
      <c r="M159" s="102"/>
      <c r="N159" s="102"/>
      <c r="O159" s="102"/>
      <c r="P159" s="102"/>
      <c r="Q159" s="93">
        <f t="shared" si="0"/>
        <v>0</v>
      </c>
      <c r="R159" s="95">
        <f t="shared" si="1"/>
        <v>0</v>
      </c>
      <c r="S159" s="97">
        <f t="shared" si="2"/>
        <v>0</v>
      </c>
      <c r="T159" s="27"/>
      <c r="U159" s="27"/>
      <c r="V159" s="27"/>
      <c r="W159" s="27"/>
      <c r="X159" s="27"/>
      <c r="Y159" s="27"/>
      <c r="Z159" s="27"/>
    </row>
    <row r="160" spans="1:26" ht="15" customHeight="1" x14ac:dyDescent="0.35">
      <c r="A160" s="83" t="s">
        <v>967</v>
      </c>
      <c r="B160" s="47" t="s">
        <v>968</v>
      </c>
      <c r="C160" s="1" t="s">
        <v>969</v>
      </c>
      <c r="D160" s="105"/>
      <c r="E160" s="105"/>
      <c r="F160" s="105"/>
      <c r="G160" s="86"/>
      <c r="H160" s="86"/>
      <c r="I160" s="91"/>
      <c r="J160" s="100"/>
      <c r="K160" s="102"/>
      <c r="L160" s="102"/>
      <c r="M160" s="102"/>
      <c r="N160" s="102"/>
      <c r="O160" s="102"/>
      <c r="P160" s="102"/>
      <c r="Q160" s="93">
        <f t="shared" si="0"/>
        <v>0</v>
      </c>
      <c r="R160" s="95">
        <f t="shared" si="1"/>
        <v>0</v>
      </c>
      <c r="S160" s="97">
        <f t="shared" si="2"/>
        <v>0</v>
      </c>
      <c r="T160" s="27"/>
      <c r="U160" s="27"/>
      <c r="V160" s="27"/>
      <c r="W160" s="27"/>
      <c r="X160" s="27"/>
      <c r="Y160" s="27"/>
      <c r="Z160" s="27"/>
    </row>
    <row r="161" spans="1:26" ht="15" customHeight="1" x14ac:dyDescent="0.35">
      <c r="A161" s="83" t="s">
        <v>974</v>
      </c>
      <c r="B161" s="112" t="s">
        <v>975</v>
      </c>
      <c r="C161" s="33" t="s">
        <v>855</v>
      </c>
      <c r="D161" s="86"/>
      <c r="E161" s="86"/>
      <c r="F161" s="87"/>
      <c r="G161" s="86"/>
      <c r="H161" s="86"/>
      <c r="I161" s="91"/>
      <c r="J161" s="106"/>
      <c r="K161" s="102"/>
      <c r="L161" s="102"/>
      <c r="M161" s="102"/>
      <c r="N161" s="102"/>
      <c r="O161" s="102"/>
      <c r="P161" s="102"/>
      <c r="Q161" s="93">
        <f t="shared" si="0"/>
        <v>0</v>
      </c>
      <c r="R161" s="95">
        <f t="shared" si="1"/>
        <v>0</v>
      </c>
      <c r="S161" s="97">
        <f t="shared" si="2"/>
        <v>0</v>
      </c>
      <c r="T161" s="27"/>
      <c r="U161" s="27"/>
      <c r="V161" s="27"/>
      <c r="W161" s="27"/>
      <c r="X161" s="27"/>
      <c r="Y161" s="27"/>
      <c r="Z161" s="27"/>
    </row>
    <row r="162" spans="1:26" ht="15" customHeight="1" x14ac:dyDescent="0.35">
      <c r="A162" s="83" t="s">
        <v>981</v>
      </c>
      <c r="B162" s="132" t="s">
        <v>983</v>
      </c>
      <c r="C162" s="105" t="s">
        <v>984</v>
      </c>
      <c r="D162" s="86"/>
      <c r="E162" s="86"/>
      <c r="F162" s="87"/>
      <c r="G162" s="86"/>
      <c r="H162" s="86"/>
      <c r="I162" s="91"/>
      <c r="J162" s="106"/>
      <c r="K162" s="102"/>
      <c r="L162" s="102"/>
      <c r="M162" s="102"/>
      <c r="N162" s="102"/>
      <c r="O162" s="102"/>
      <c r="P162" s="102"/>
      <c r="Q162" s="93">
        <f t="shared" si="0"/>
        <v>0</v>
      </c>
      <c r="R162" s="95">
        <f t="shared" si="1"/>
        <v>0</v>
      </c>
      <c r="S162" s="97">
        <f t="shared" si="2"/>
        <v>0</v>
      </c>
      <c r="T162" s="27"/>
      <c r="U162" s="27"/>
      <c r="V162" s="27"/>
      <c r="W162" s="27"/>
      <c r="X162" s="27"/>
      <c r="Y162" s="27"/>
      <c r="Z162" s="27"/>
    </row>
    <row r="163" spans="1:26" ht="15" customHeight="1" x14ac:dyDescent="0.35">
      <c r="A163" s="83" t="s">
        <v>991</v>
      </c>
      <c r="B163" s="47" t="s">
        <v>601</v>
      </c>
      <c r="C163" s="33" t="s">
        <v>567</v>
      </c>
      <c r="D163" s="84"/>
      <c r="E163" s="86"/>
      <c r="F163" s="87"/>
      <c r="G163" s="86"/>
      <c r="H163" s="86"/>
      <c r="I163" s="91"/>
      <c r="J163" s="106"/>
      <c r="K163" s="102"/>
      <c r="L163" s="102"/>
      <c r="M163" s="102"/>
      <c r="N163" s="102"/>
      <c r="O163" s="102"/>
      <c r="P163" s="102"/>
      <c r="Q163" s="93">
        <f t="shared" si="0"/>
        <v>0</v>
      </c>
      <c r="R163" s="95">
        <f t="shared" si="1"/>
        <v>0</v>
      </c>
      <c r="S163" s="97">
        <f t="shared" si="2"/>
        <v>0</v>
      </c>
      <c r="T163" s="27"/>
      <c r="U163" s="27"/>
      <c r="V163" s="27"/>
      <c r="W163" s="27"/>
      <c r="X163" s="27"/>
      <c r="Y163" s="27"/>
      <c r="Z163" s="27"/>
    </row>
    <row r="164" spans="1:26" ht="15" customHeight="1" x14ac:dyDescent="0.35">
      <c r="A164" s="83" t="s">
        <v>998</v>
      </c>
      <c r="B164" s="47" t="s">
        <v>411</v>
      </c>
      <c r="C164" s="105" t="s">
        <v>140</v>
      </c>
      <c r="D164" s="84"/>
      <c r="E164" s="86"/>
      <c r="F164" s="87"/>
      <c r="G164" s="86"/>
      <c r="H164" s="86"/>
      <c r="I164" s="91"/>
      <c r="J164" s="105"/>
      <c r="K164" s="32"/>
      <c r="L164" s="32"/>
      <c r="M164" s="32"/>
      <c r="N164" s="32"/>
      <c r="O164" s="32"/>
      <c r="P164" s="32"/>
      <c r="Q164" s="93">
        <f t="shared" si="0"/>
        <v>0</v>
      </c>
      <c r="R164" s="95">
        <f t="shared" si="1"/>
        <v>0</v>
      </c>
      <c r="S164" s="97">
        <f t="shared" si="2"/>
        <v>0</v>
      </c>
      <c r="T164" s="27"/>
      <c r="U164" s="27"/>
      <c r="V164" s="27"/>
      <c r="W164" s="27"/>
      <c r="X164" s="27"/>
      <c r="Y164" s="27"/>
      <c r="Z164" s="27"/>
    </row>
    <row r="165" spans="1:26" ht="15" customHeight="1" x14ac:dyDescent="0.35">
      <c r="A165" s="83" t="s">
        <v>1004</v>
      </c>
      <c r="B165" s="98" t="s">
        <v>1006</v>
      </c>
      <c r="C165" s="1" t="s">
        <v>1007</v>
      </c>
      <c r="D165" s="86"/>
      <c r="E165" s="86"/>
      <c r="F165" s="87"/>
      <c r="G165" s="86"/>
      <c r="H165" s="86"/>
      <c r="I165" s="91"/>
      <c r="J165" s="128"/>
      <c r="K165" s="102"/>
      <c r="L165" s="102"/>
      <c r="M165" s="102"/>
      <c r="N165" s="102"/>
      <c r="O165" s="102"/>
      <c r="P165" s="102"/>
      <c r="Q165" s="93">
        <f t="shared" si="0"/>
        <v>0</v>
      </c>
      <c r="R165" s="95">
        <f t="shared" si="1"/>
        <v>0</v>
      </c>
      <c r="S165" s="97">
        <f t="shared" si="2"/>
        <v>0</v>
      </c>
      <c r="T165" s="27"/>
      <c r="U165" s="27"/>
      <c r="V165" s="27"/>
      <c r="W165" s="27"/>
      <c r="X165" s="27"/>
      <c r="Y165" s="27"/>
      <c r="Z165" s="27"/>
    </row>
    <row r="166" spans="1:26" ht="15" customHeight="1" x14ac:dyDescent="0.35">
      <c r="A166" s="83" t="s">
        <v>1012</v>
      </c>
      <c r="B166" s="98" t="s">
        <v>1013</v>
      </c>
      <c r="C166" s="1" t="s">
        <v>1014</v>
      </c>
      <c r="D166" s="86"/>
      <c r="E166" s="86"/>
      <c r="F166" s="87"/>
      <c r="G166" s="86"/>
      <c r="H166" s="86"/>
      <c r="I166" s="91"/>
      <c r="J166" s="92"/>
      <c r="K166" s="32"/>
      <c r="L166" s="32"/>
      <c r="M166" s="32"/>
      <c r="N166" s="32"/>
      <c r="O166" s="32"/>
      <c r="P166" s="32"/>
      <c r="Q166" s="93">
        <f t="shared" si="0"/>
        <v>0</v>
      </c>
      <c r="R166" s="95">
        <f t="shared" si="1"/>
        <v>0</v>
      </c>
      <c r="S166" s="97">
        <f t="shared" si="2"/>
        <v>0</v>
      </c>
      <c r="T166" s="27"/>
      <c r="U166" s="27"/>
      <c r="V166" s="27"/>
      <c r="W166" s="27"/>
      <c r="X166" s="27"/>
      <c r="Y166" s="27"/>
      <c r="Z166" s="27"/>
    </row>
    <row r="167" spans="1:26" ht="15" customHeight="1" x14ac:dyDescent="0.35">
      <c r="A167" s="83" t="s">
        <v>1017</v>
      </c>
      <c r="B167" s="47" t="s">
        <v>93</v>
      </c>
      <c r="C167" s="1" t="s">
        <v>282</v>
      </c>
      <c r="D167" s="84"/>
      <c r="E167" s="86"/>
      <c r="F167" s="87"/>
      <c r="G167" s="86"/>
      <c r="H167" s="86"/>
      <c r="I167" s="91"/>
      <c r="J167" s="92"/>
      <c r="K167" s="32"/>
      <c r="L167" s="32"/>
      <c r="M167" s="32"/>
      <c r="N167" s="32"/>
      <c r="O167" s="32"/>
      <c r="P167" s="32"/>
      <c r="Q167" s="93">
        <f t="shared" si="0"/>
        <v>0</v>
      </c>
      <c r="R167" s="95">
        <f t="shared" si="1"/>
        <v>0</v>
      </c>
      <c r="S167" s="97">
        <f t="shared" si="2"/>
        <v>0</v>
      </c>
      <c r="T167" s="27"/>
      <c r="U167" s="27"/>
      <c r="V167" s="27"/>
      <c r="W167" s="27"/>
      <c r="X167" s="27"/>
      <c r="Y167" s="27"/>
      <c r="Z167" s="27"/>
    </row>
    <row r="168" spans="1:26" ht="15" customHeight="1" x14ac:dyDescent="0.35">
      <c r="A168" s="83" t="s">
        <v>1020</v>
      </c>
      <c r="B168" s="47" t="s">
        <v>322</v>
      </c>
      <c r="C168" s="1" t="s">
        <v>1022</v>
      </c>
      <c r="D168" s="142"/>
      <c r="E168" s="142"/>
      <c r="F168" s="142"/>
      <c r="G168" s="86"/>
      <c r="H168" s="86"/>
      <c r="I168" s="91"/>
      <c r="J168" s="143"/>
      <c r="K168" s="102"/>
      <c r="L168" s="102"/>
      <c r="M168" s="102"/>
      <c r="N168" s="102"/>
      <c r="O168" s="102"/>
      <c r="P168" s="102"/>
      <c r="Q168" s="93">
        <f t="shared" si="0"/>
        <v>0</v>
      </c>
      <c r="R168" s="95">
        <f t="shared" si="1"/>
        <v>0</v>
      </c>
      <c r="S168" s="97">
        <f t="shared" si="2"/>
        <v>0</v>
      </c>
      <c r="T168" s="27"/>
      <c r="U168" s="27"/>
      <c r="V168" s="27"/>
      <c r="W168" s="27"/>
      <c r="X168" s="27"/>
      <c r="Y168" s="27"/>
      <c r="Z168" s="27"/>
    </row>
    <row r="169" spans="1:26" ht="15" customHeight="1" x14ac:dyDescent="0.35">
      <c r="A169" s="83" t="s">
        <v>1026</v>
      </c>
      <c r="B169" s="47" t="s">
        <v>648</v>
      </c>
      <c r="C169" s="1" t="s">
        <v>274</v>
      </c>
      <c r="D169" s="84"/>
      <c r="E169" s="86"/>
      <c r="F169" s="87"/>
      <c r="G169" s="86"/>
      <c r="H169" s="86"/>
      <c r="I169" s="91"/>
      <c r="J169" s="92"/>
      <c r="K169" s="32"/>
      <c r="L169" s="32"/>
      <c r="M169" s="32"/>
      <c r="N169" s="32"/>
      <c r="O169" s="32"/>
      <c r="P169" s="32"/>
      <c r="Q169" s="93">
        <f t="shared" si="0"/>
        <v>0</v>
      </c>
      <c r="R169" s="95">
        <f t="shared" si="1"/>
        <v>0</v>
      </c>
      <c r="S169" s="97">
        <f t="shared" si="2"/>
        <v>0</v>
      </c>
      <c r="T169" s="27"/>
      <c r="U169" s="27"/>
      <c r="V169" s="27"/>
      <c r="W169" s="27"/>
      <c r="X169" s="27"/>
      <c r="Y169" s="27"/>
      <c r="Z169" s="27"/>
    </row>
    <row r="170" spans="1:26" ht="15" customHeight="1" x14ac:dyDescent="0.35">
      <c r="A170" s="83"/>
      <c r="B170" s="47" t="s">
        <v>617</v>
      </c>
      <c r="C170" s="1" t="s">
        <v>140</v>
      </c>
      <c r="D170" s="84"/>
      <c r="E170" s="86"/>
      <c r="F170" s="87"/>
      <c r="G170" s="86"/>
      <c r="H170" s="86"/>
      <c r="I170" s="91"/>
      <c r="J170" s="92"/>
      <c r="K170" s="32"/>
      <c r="L170" s="32"/>
      <c r="M170" s="32"/>
      <c r="N170" s="32"/>
      <c r="O170" s="32"/>
      <c r="P170" s="32"/>
      <c r="Q170" s="93">
        <f t="shared" si="0"/>
        <v>0</v>
      </c>
      <c r="R170" s="95">
        <f t="shared" si="1"/>
        <v>0</v>
      </c>
      <c r="S170" s="97">
        <f t="shared" si="2"/>
        <v>0</v>
      </c>
      <c r="T170" s="27"/>
      <c r="U170" s="27"/>
      <c r="V170" s="27"/>
      <c r="W170" s="27"/>
      <c r="X170" s="27"/>
      <c r="Y170" s="27"/>
      <c r="Z170" s="27"/>
    </row>
    <row r="171" spans="1:26" ht="15" customHeight="1" x14ac:dyDescent="0.35">
      <c r="A171" s="83" t="s">
        <v>1035</v>
      </c>
      <c r="B171" s="47" t="s">
        <v>1036</v>
      </c>
      <c r="C171" s="33" t="s">
        <v>1038</v>
      </c>
      <c r="D171" s="86"/>
      <c r="E171" s="86"/>
      <c r="F171" s="87"/>
      <c r="G171" s="86"/>
      <c r="H171" s="86"/>
      <c r="I171" s="91"/>
      <c r="J171" s="86"/>
      <c r="K171" s="32"/>
      <c r="L171" s="32"/>
      <c r="M171" s="32"/>
      <c r="N171" s="32"/>
      <c r="O171" s="32"/>
      <c r="P171" s="32"/>
      <c r="Q171" s="93">
        <f t="shared" si="0"/>
        <v>0</v>
      </c>
      <c r="R171" s="95">
        <f t="shared" si="1"/>
        <v>0</v>
      </c>
      <c r="S171" s="97">
        <f t="shared" si="2"/>
        <v>0</v>
      </c>
      <c r="T171" s="27"/>
      <c r="U171" s="27"/>
      <c r="V171" s="27"/>
      <c r="W171" s="27"/>
      <c r="X171" s="27"/>
      <c r="Y171" s="27"/>
      <c r="Z171" s="27"/>
    </row>
    <row r="172" spans="1:26" ht="15" customHeight="1" x14ac:dyDescent="0.35">
      <c r="A172" s="83" t="s">
        <v>1041</v>
      </c>
      <c r="B172" s="98" t="s">
        <v>1042</v>
      </c>
      <c r="C172" s="1" t="s">
        <v>140</v>
      </c>
      <c r="D172" s="84"/>
      <c r="E172" s="87"/>
      <c r="F172" s="87"/>
      <c r="G172" s="86"/>
      <c r="H172" s="86"/>
      <c r="I172" s="91"/>
      <c r="J172" s="105"/>
      <c r="K172" s="32"/>
      <c r="L172" s="32"/>
      <c r="M172" s="32"/>
      <c r="N172" s="32"/>
      <c r="O172" s="32"/>
      <c r="P172" s="32"/>
      <c r="Q172" s="93">
        <f t="shared" si="0"/>
        <v>0</v>
      </c>
      <c r="R172" s="95">
        <f t="shared" si="1"/>
        <v>0</v>
      </c>
      <c r="S172" s="97">
        <f t="shared" si="2"/>
        <v>0</v>
      </c>
      <c r="T172" s="27"/>
      <c r="U172" s="27"/>
      <c r="V172" s="27"/>
      <c r="W172" s="27"/>
      <c r="X172" s="27"/>
      <c r="Y172" s="27"/>
      <c r="Z172" s="27"/>
    </row>
    <row r="173" spans="1:26" ht="15" customHeight="1" x14ac:dyDescent="0.35">
      <c r="A173" s="83" t="s">
        <v>1045</v>
      </c>
      <c r="B173" s="98" t="s">
        <v>116</v>
      </c>
      <c r="C173" s="1" t="s">
        <v>113</v>
      </c>
      <c r="D173" s="84"/>
      <c r="E173" s="84"/>
      <c r="F173" s="84"/>
      <c r="G173" s="86"/>
      <c r="H173" s="86"/>
      <c r="I173" s="91"/>
      <c r="J173" s="128"/>
      <c r="K173" s="102"/>
      <c r="L173" s="102"/>
      <c r="M173" s="102"/>
      <c r="N173" s="102"/>
      <c r="O173" s="102"/>
      <c r="P173" s="102"/>
      <c r="Q173" s="93">
        <f t="shared" si="0"/>
        <v>0</v>
      </c>
      <c r="R173" s="95">
        <f t="shared" si="1"/>
        <v>0</v>
      </c>
      <c r="S173" s="97">
        <f t="shared" si="2"/>
        <v>0</v>
      </c>
      <c r="T173" s="27"/>
      <c r="U173" s="27"/>
      <c r="V173" s="27"/>
      <c r="W173" s="27"/>
      <c r="X173" s="27"/>
      <c r="Y173" s="27"/>
      <c r="Z173" s="27"/>
    </row>
    <row r="174" spans="1:26" ht="15" customHeight="1" x14ac:dyDescent="0.35">
      <c r="A174" s="83" t="s">
        <v>1048</v>
      </c>
      <c r="B174" s="47" t="s">
        <v>1049</v>
      </c>
      <c r="C174" s="1" t="s">
        <v>1050</v>
      </c>
      <c r="D174" s="142"/>
      <c r="E174" s="84"/>
      <c r="F174" s="84"/>
      <c r="G174" s="86"/>
      <c r="H174" s="86"/>
      <c r="I174" s="91"/>
      <c r="J174" s="143"/>
      <c r="K174" s="102"/>
      <c r="L174" s="102"/>
      <c r="M174" s="102"/>
      <c r="N174" s="102"/>
      <c r="O174" s="102"/>
      <c r="P174" s="102"/>
      <c r="Q174" s="93">
        <f t="shared" si="0"/>
        <v>0</v>
      </c>
      <c r="R174" s="95">
        <f t="shared" si="1"/>
        <v>0</v>
      </c>
      <c r="S174" s="97">
        <f t="shared" si="2"/>
        <v>0</v>
      </c>
      <c r="T174" s="27"/>
      <c r="U174" s="27"/>
      <c r="V174" s="27"/>
      <c r="W174" s="27"/>
      <c r="X174" s="27"/>
      <c r="Y174" s="27"/>
      <c r="Z174" s="27"/>
    </row>
    <row r="175" spans="1:26" ht="15" customHeight="1" x14ac:dyDescent="0.35">
      <c r="A175" s="83" t="s">
        <v>1053</v>
      </c>
      <c r="B175" s="47" t="s">
        <v>773</v>
      </c>
      <c r="C175" s="105" t="s">
        <v>75</v>
      </c>
      <c r="D175" s="86"/>
      <c r="E175" s="86"/>
      <c r="F175" s="87"/>
      <c r="G175" s="86"/>
      <c r="H175" s="86"/>
      <c r="I175" s="91"/>
      <c r="J175" s="86"/>
      <c r="K175" s="32"/>
      <c r="L175" s="32"/>
      <c r="M175" s="32"/>
      <c r="N175" s="32"/>
      <c r="O175" s="32"/>
      <c r="P175" s="32"/>
      <c r="Q175" s="93">
        <f t="shared" si="0"/>
        <v>0</v>
      </c>
      <c r="R175" s="95">
        <f t="shared" si="1"/>
        <v>0</v>
      </c>
      <c r="S175" s="97">
        <f t="shared" si="2"/>
        <v>0</v>
      </c>
      <c r="T175" s="27"/>
      <c r="U175" s="27"/>
      <c r="V175" s="27"/>
      <c r="W175" s="27"/>
      <c r="X175" s="27"/>
      <c r="Y175" s="27"/>
      <c r="Z175" s="27"/>
    </row>
    <row r="176" spans="1:26" ht="15" customHeight="1" x14ac:dyDescent="0.35">
      <c r="A176" s="83" t="s">
        <v>1058</v>
      </c>
      <c r="B176" s="47" t="s">
        <v>419</v>
      </c>
      <c r="C176" s="105" t="s">
        <v>1059</v>
      </c>
      <c r="D176" s="84"/>
      <c r="E176" s="86"/>
      <c r="F176" s="87"/>
      <c r="G176" s="86"/>
      <c r="H176" s="86"/>
      <c r="I176" s="91"/>
      <c r="J176" s="116"/>
      <c r="K176" s="102"/>
      <c r="L176" s="102"/>
      <c r="M176" s="102"/>
      <c r="N176" s="102"/>
      <c r="O176" s="102"/>
      <c r="P176" s="102"/>
      <c r="Q176" s="93">
        <f t="shared" si="0"/>
        <v>0</v>
      </c>
      <c r="R176" s="95">
        <f t="shared" si="1"/>
        <v>0</v>
      </c>
      <c r="S176" s="97">
        <f t="shared" si="2"/>
        <v>0</v>
      </c>
      <c r="T176" s="27"/>
      <c r="U176" s="27"/>
      <c r="V176" s="27"/>
      <c r="W176" s="27"/>
      <c r="X176" s="27"/>
      <c r="Y176" s="27"/>
      <c r="Z176" s="27"/>
    </row>
    <row r="177" spans="1:26" ht="15" customHeight="1" x14ac:dyDescent="0.35">
      <c r="A177" s="83" t="s">
        <v>1062</v>
      </c>
      <c r="B177" s="47" t="s">
        <v>1063</v>
      </c>
      <c r="C177" s="1" t="s">
        <v>1064</v>
      </c>
      <c r="D177" s="86"/>
      <c r="E177" s="86"/>
      <c r="F177" s="105"/>
      <c r="G177" s="86"/>
      <c r="H177" s="86"/>
      <c r="I177" s="91"/>
      <c r="J177" s="106"/>
      <c r="K177" s="102"/>
      <c r="L177" s="102"/>
      <c r="M177" s="102"/>
      <c r="N177" s="102"/>
      <c r="O177" s="102"/>
      <c r="P177" s="102"/>
      <c r="Q177" s="93">
        <f t="shared" si="0"/>
        <v>0</v>
      </c>
      <c r="R177" s="95">
        <f t="shared" si="1"/>
        <v>0</v>
      </c>
      <c r="S177" s="97">
        <f t="shared" si="2"/>
        <v>0</v>
      </c>
      <c r="T177" s="27"/>
      <c r="U177" s="27"/>
      <c r="V177" s="27"/>
      <c r="W177" s="27"/>
      <c r="X177" s="27"/>
      <c r="Y177" s="27"/>
      <c r="Z177" s="27"/>
    </row>
    <row r="178" spans="1:26" ht="15" customHeight="1" x14ac:dyDescent="0.35">
      <c r="A178" s="83" t="s">
        <v>1066</v>
      </c>
      <c r="B178" s="112" t="s">
        <v>1067</v>
      </c>
      <c r="C178" s="33" t="s">
        <v>1068</v>
      </c>
      <c r="D178" s="136"/>
      <c r="E178" s="86"/>
      <c r="F178" s="87"/>
      <c r="G178" s="86"/>
      <c r="H178" s="86"/>
      <c r="I178" s="91"/>
      <c r="J178" s="106"/>
      <c r="K178" s="102"/>
      <c r="L178" s="102"/>
      <c r="M178" s="102"/>
      <c r="N178" s="102"/>
      <c r="O178" s="102"/>
      <c r="P178" s="102"/>
      <c r="Q178" s="93">
        <f t="shared" si="0"/>
        <v>0</v>
      </c>
      <c r="R178" s="95">
        <f t="shared" si="1"/>
        <v>0</v>
      </c>
      <c r="S178" s="97">
        <f t="shared" si="2"/>
        <v>0</v>
      </c>
      <c r="T178" s="27"/>
      <c r="U178" s="27"/>
      <c r="V178" s="27"/>
      <c r="W178" s="27"/>
      <c r="X178" s="27"/>
      <c r="Y178" s="27"/>
      <c r="Z178" s="27"/>
    </row>
    <row r="179" spans="1:26" ht="15" customHeight="1" x14ac:dyDescent="0.35">
      <c r="A179" s="83" t="s">
        <v>1071</v>
      </c>
      <c r="B179" s="98" t="s">
        <v>399</v>
      </c>
      <c r="C179" s="1" t="s">
        <v>488</v>
      </c>
      <c r="D179" s="86"/>
      <c r="E179" s="86"/>
      <c r="F179" s="87"/>
      <c r="G179" s="86"/>
      <c r="H179" s="86"/>
      <c r="I179" s="91"/>
      <c r="J179" s="108"/>
      <c r="K179" s="32"/>
      <c r="L179" s="32"/>
      <c r="M179" s="32"/>
      <c r="N179" s="32"/>
      <c r="O179" s="32"/>
      <c r="P179" s="32"/>
      <c r="Q179" s="93">
        <f t="shared" si="0"/>
        <v>0</v>
      </c>
      <c r="R179" s="95">
        <f t="shared" si="1"/>
        <v>0</v>
      </c>
      <c r="S179" s="97">
        <f t="shared" si="2"/>
        <v>0</v>
      </c>
      <c r="T179" s="27"/>
      <c r="U179" s="27"/>
      <c r="V179" s="27"/>
      <c r="W179" s="27"/>
      <c r="X179" s="27"/>
      <c r="Y179" s="27"/>
      <c r="Z179" s="27"/>
    </row>
    <row r="180" spans="1:26" ht="15" customHeight="1" x14ac:dyDescent="0.35">
      <c r="A180" s="83" t="s">
        <v>1074</v>
      </c>
      <c r="B180" s="98" t="s">
        <v>1075</v>
      </c>
      <c r="C180" s="1" t="s">
        <v>113</v>
      </c>
      <c r="D180" s="84"/>
      <c r="E180" s="86"/>
      <c r="F180" s="87"/>
      <c r="G180" s="86"/>
      <c r="H180" s="86"/>
      <c r="I180" s="91"/>
      <c r="J180" s="261"/>
      <c r="K180" s="119"/>
      <c r="L180" s="119"/>
      <c r="M180" s="119"/>
      <c r="N180" s="119"/>
      <c r="O180" s="119"/>
      <c r="P180" s="119"/>
      <c r="Q180" s="93">
        <f t="shared" si="0"/>
        <v>0</v>
      </c>
      <c r="R180" s="95">
        <f t="shared" si="1"/>
        <v>0</v>
      </c>
      <c r="S180" s="97">
        <f t="shared" si="2"/>
        <v>0</v>
      </c>
      <c r="T180" s="27"/>
      <c r="U180" s="27"/>
      <c r="V180" s="27"/>
      <c r="W180" s="27"/>
      <c r="X180" s="27"/>
      <c r="Y180" s="27"/>
      <c r="Z180" s="27"/>
    </row>
    <row r="181" spans="1:26" ht="15" customHeight="1" x14ac:dyDescent="0.35">
      <c r="A181" s="83" t="s">
        <v>1077</v>
      </c>
      <c r="B181" s="47" t="s">
        <v>442</v>
      </c>
      <c r="C181" s="1" t="s">
        <v>113</v>
      </c>
      <c r="D181" s="84"/>
      <c r="E181" s="86"/>
      <c r="F181" s="87"/>
      <c r="G181" s="86"/>
      <c r="H181" s="86"/>
      <c r="I181" s="91"/>
      <c r="J181" s="116"/>
      <c r="K181" s="102"/>
      <c r="L181" s="102"/>
      <c r="M181" s="102"/>
      <c r="N181" s="102"/>
      <c r="O181" s="102"/>
      <c r="P181" s="102"/>
      <c r="Q181" s="93">
        <f t="shared" si="0"/>
        <v>0</v>
      </c>
      <c r="R181" s="95">
        <f t="shared" si="1"/>
        <v>0</v>
      </c>
      <c r="S181" s="97">
        <f t="shared" si="2"/>
        <v>0</v>
      </c>
      <c r="T181" s="27"/>
      <c r="U181" s="27"/>
      <c r="V181" s="27"/>
      <c r="W181" s="27"/>
      <c r="X181" s="27"/>
      <c r="Y181" s="27"/>
      <c r="Z181" s="27"/>
    </row>
    <row r="182" spans="1:26" ht="15" customHeight="1" x14ac:dyDescent="0.35">
      <c r="A182" s="83" t="s">
        <v>1082</v>
      </c>
      <c r="B182" s="98" t="s">
        <v>189</v>
      </c>
      <c r="C182" s="1" t="s">
        <v>179</v>
      </c>
      <c r="D182" s="86"/>
      <c r="E182" s="86"/>
      <c r="F182" s="87"/>
      <c r="G182" s="86"/>
      <c r="H182" s="86"/>
      <c r="I182" s="91"/>
      <c r="J182" s="128"/>
      <c r="K182" s="102"/>
      <c r="L182" s="102"/>
      <c r="M182" s="102"/>
      <c r="N182" s="102"/>
      <c r="O182" s="102"/>
      <c r="P182" s="102"/>
      <c r="Q182" s="93">
        <f t="shared" si="0"/>
        <v>0</v>
      </c>
      <c r="R182" s="95">
        <f t="shared" si="1"/>
        <v>0</v>
      </c>
      <c r="S182" s="97">
        <f t="shared" si="2"/>
        <v>0</v>
      </c>
      <c r="T182" s="27"/>
      <c r="U182" s="27"/>
      <c r="V182" s="27"/>
      <c r="W182" s="27"/>
      <c r="X182" s="27"/>
      <c r="Y182" s="27"/>
      <c r="Z182" s="27"/>
    </row>
    <row r="183" spans="1:26" ht="15" customHeight="1" x14ac:dyDescent="0.35">
      <c r="A183" s="83" t="s">
        <v>1083</v>
      </c>
      <c r="B183" s="112" t="s">
        <v>18</v>
      </c>
      <c r="C183" s="33" t="s">
        <v>1084</v>
      </c>
      <c r="D183" s="86"/>
      <c r="E183" s="84"/>
      <c r="F183" s="84"/>
      <c r="G183" s="86"/>
      <c r="H183" s="86"/>
      <c r="I183" s="91"/>
      <c r="J183" s="106"/>
      <c r="K183" s="102"/>
      <c r="L183" s="102"/>
      <c r="M183" s="102"/>
      <c r="N183" s="102"/>
      <c r="O183" s="102"/>
      <c r="P183" s="102"/>
      <c r="Q183" s="93">
        <f t="shared" si="0"/>
        <v>0</v>
      </c>
      <c r="R183" s="95">
        <f t="shared" si="1"/>
        <v>0</v>
      </c>
      <c r="S183" s="97">
        <f t="shared" si="2"/>
        <v>0</v>
      </c>
      <c r="T183" s="27"/>
      <c r="U183" s="27"/>
      <c r="V183" s="27"/>
      <c r="W183" s="27"/>
      <c r="X183" s="27"/>
      <c r="Y183" s="27"/>
      <c r="Z183" s="27"/>
    </row>
    <row r="184" spans="1:26" ht="15" customHeight="1" x14ac:dyDescent="0.35">
      <c r="A184" s="83" t="s">
        <v>1088</v>
      </c>
      <c r="B184" s="47" t="s">
        <v>426</v>
      </c>
      <c r="C184" s="105" t="s">
        <v>1089</v>
      </c>
      <c r="D184" s="84"/>
      <c r="E184" s="86"/>
      <c r="F184" s="87"/>
      <c r="G184" s="86"/>
      <c r="H184" s="86"/>
      <c r="I184" s="91"/>
      <c r="J184" s="106"/>
      <c r="K184" s="102"/>
      <c r="L184" s="102"/>
      <c r="M184" s="102"/>
      <c r="N184" s="102"/>
      <c r="O184" s="102"/>
      <c r="P184" s="102"/>
      <c r="Q184" s="93">
        <f t="shared" si="0"/>
        <v>0</v>
      </c>
      <c r="R184" s="95">
        <f t="shared" si="1"/>
        <v>0</v>
      </c>
      <c r="S184" s="97">
        <f t="shared" si="2"/>
        <v>0</v>
      </c>
      <c r="T184" s="27"/>
      <c r="U184" s="27"/>
      <c r="V184" s="27"/>
      <c r="W184" s="27"/>
      <c r="X184" s="27"/>
      <c r="Y184" s="27"/>
      <c r="Z184" s="27"/>
    </row>
    <row r="185" spans="1:26" ht="15" customHeight="1" x14ac:dyDescent="0.35">
      <c r="A185" s="83" t="s">
        <v>1092</v>
      </c>
      <c r="B185" s="47" t="s">
        <v>333</v>
      </c>
      <c r="C185" s="1" t="s">
        <v>179</v>
      </c>
      <c r="D185" s="142"/>
      <c r="E185" s="84"/>
      <c r="F185" s="84"/>
      <c r="G185" s="86"/>
      <c r="H185" s="86"/>
      <c r="I185" s="91"/>
      <c r="J185" s="143"/>
      <c r="K185" s="102"/>
      <c r="L185" s="102"/>
      <c r="M185" s="102"/>
      <c r="N185" s="102"/>
      <c r="O185" s="102"/>
      <c r="P185" s="102"/>
      <c r="Q185" s="93">
        <f t="shared" si="0"/>
        <v>0</v>
      </c>
      <c r="R185" s="95">
        <f t="shared" si="1"/>
        <v>0</v>
      </c>
      <c r="S185" s="97">
        <f t="shared" si="2"/>
        <v>0</v>
      </c>
      <c r="T185" s="27"/>
      <c r="U185" s="27"/>
      <c r="V185" s="27"/>
      <c r="W185" s="27"/>
      <c r="X185" s="27"/>
      <c r="Y185" s="27"/>
      <c r="Z185" s="27"/>
    </row>
    <row r="186" spans="1:26" ht="15" customHeight="1" x14ac:dyDescent="0.35">
      <c r="A186" s="83" t="s">
        <v>1095</v>
      </c>
      <c r="B186" s="47" t="s">
        <v>1097</v>
      </c>
      <c r="C186" s="1" t="s">
        <v>488</v>
      </c>
      <c r="D186" s="84"/>
      <c r="E186" s="86"/>
      <c r="F186" s="87"/>
      <c r="G186" s="86"/>
      <c r="H186" s="86"/>
      <c r="I186" s="91"/>
      <c r="J186" s="92"/>
      <c r="K186" s="32"/>
      <c r="L186" s="32"/>
      <c r="M186" s="32"/>
      <c r="N186" s="32"/>
      <c r="O186" s="32"/>
      <c r="P186" s="32"/>
      <c r="Q186" s="93">
        <f t="shared" si="0"/>
        <v>0</v>
      </c>
      <c r="R186" s="95">
        <f t="shared" si="1"/>
        <v>0</v>
      </c>
      <c r="S186" s="97">
        <f t="shared" si="2"/>
        <v>0</v>
      </c>
      <c r="T186" s="27"/>
      <c r="U186" s="27"/>
      <c r="V186" s="27"/>
      <c r="W186" s="27"/>
      <c r="X186" s="27"/>
      <c r="Y186" s="27"/>
      <c r="Z186" s="27"/>
    </row>
    <row r="187" spans="1:26" ht="15" customHeight="1" x14ac:dyDescent="0.35">
      <c r="A187" s="83" t="s">
        <v>1101</v>
      </c>
      <c r="B187" s="47" t="s">
        <v>288</v>
      </c>
      <c r="C187" s="1" t="s">
        <v>75</v>
      </c>
      <c r="D187" s="142"/>
      <c r="E187" s="84"/>
      <c r="F187" s="84"/>
      <c r="G187" s="86"/>
      <c r="H187" s="86"/>
      <c r="I187" s="91"/>
      <c r="J187" s="268"/>
      <c r="K187" s="32"/>
      <c r="L187" s="32"/>
      <c r="M187" s="32"/>
      <c r="N187" s="32"/>
      <c r="O187" s="32"/>
      <c r="P187" s="32"/>
      <c r="Q187" s="93">
        <f t="shared" si="0"/>
        <v>0</v>
      </c>
      <c r="R187" s="95">
        <f t="shared" si="1"/>
        <v>0</v>
      </c>
      <c r="S187" s="97">
        <f t="shared" si="2"/>
        <v>0</v>
      </c>
      <c r="T187" s="27"/>
      <c r="U187" s="27"/>
      <c r="V187" s="27"/>
      <c r="W187" s="27"/>
      <c r="X187" s="27"/>
      <c r="Y187" s="27"/>
      <c r="Z187" s="27"/>
    </row>
    <row r="188" spans="1:26" ht="15" customHeight="1" x14ac:dyDescent="0.35">
      <c r="A188" s="83" t="s">
        <v>1108</v>
      </c>
      <c r="B188" s="112" t="s">
        <v>1109</v>
      </c>
      <c r="C188" s="1" t="s">
        <v>1110</v>
      </c>
      <c r="D188" s="86"/>
      <c r="E188" s="86"/>
      <c r="F188" s="87"/>
      <c r="G188" s="86"/>
      <c r="H188" s="86"/>
      <c r="I188" s="91"/>
      <c r="J188" s="86"/>
      <c r="K188" s="32"/>
      <c r="L188" s="32"/>
      <c r="M188" s="32"/>
      <c r="N188" s="32"/>
      <c r="O188" s="32"/>
      <c r="P188" s="32"/>
      <c r="Q188" s="93">
        <f t="shared" si="0"/>
        <v>0</v>
      </c>
      <c r="R188" s="95">
        <f t="shared" si="1"/>
        <v>0</v>
      </c>
      <c r="S188" s="97">
        <f t="shared" si="2"/>
        <v>0</v>
      </c>
      <c r="T188" s="27"/>
      <c r="U188" s="27"/>
      <c r="V188" s="27"/>
      <c r="W188" s="27"/>
      <c r="X188" s="27"/>
      <c r="Y188" s="27"/>
      <c r="Z188" s="27"/>
    </row>
    <row r="189" spans="1:26" ht="15" customHeight="1" x14ac:dyDescent="0.35">
      <c r="A189" s="83" t="s">
        <v>1115</v>
      </c>
      <c r="B189" s="112" t="s">
        <v>1116</v>
      </c>
      <c r="C189" s="33" t="s">
        <v>1118</v>
      </c>
      <c r="D189" s="86"/>
      <c r="E189" s="86"/>
      <c r="F189" s="87"/>
      <c r="G189" s="86"/>
      <c r="H189" s="86"/>
      <c r="I189" s="91"/>
      <c r="J189" s="100"/>
      <c r="K189" s="102"/>
      <c r="L189" s="102"/>
      <c r="M189" s="102"/>
      <c r="N189" s="102"/>
      <c r="O189" s="102"/>
      <c r="P189" s="102"/>
      <c r="Q189" s="93">
        <f t="shared" si="0"/>
        <v>0</v>
      </c>
      <c r="R189" s="95">
        <f t="shared" si="1"/>
        <v>0</v>
      </c>
      <c r="S189" s="97">
        <f t="shared" si="2"/>
        <v>0</v>
      </c>
      <c r="T189" s="27"/>
      <c r="U189" s="27"/>
      <c r="V189" s="27"/>
      <c r="W189" s="27"/>
      <c r="X189" s="27"/>
      <c r="Y189" s="27"/>
      <c r="Z189" s="27"/>
    </row>
    <row r="190" spans="1:26" ht="15" customHeight="1" x14ac:dyDescent="0.35">
      <c r="A190" s="83" t="s">
        <v>1122</v>
      </c>
      <c r="B190" s="112" t="s">
        <v>14</v>
      </c>
      <c r="C190" s="33" t="s">
        <v>1123</v>
      </c>
      <c r="D190" s="86"/>
      <c r="E190" s="86"/>
      <c r="F190" s="87"/>
      <c r="G190" s="86"/>
      <c r="H190" s="86"/>
      <c r="I190" s="91"/>
      <c r="J190" s="106"/>
      <c r="K190" s="102"/>
      <c r="L190" s="102"/>
      <c r="M190" s="102"/>
      <c r="N190" s="102"/>
      <c r="O190" s="102"/>
      <c r="P190" s="102"/>
      <c r="Q190" s="93">
        <f t="shared" si="0"/>
        <v>0</v>
      </c>
      <c r="R190" s="95">
        <f t="shared" si="1"/>
        <v>0</v>
      </c>
      <c r="S190" s="97">
        <f t="shared" si="2"/>
        <v>0</v>
      </c>
      <c r="T190" s="27"/>
      <c r="U190" s="27"/>
      <c r="V190" s="27"/>
      <c r="W190" s="27"/>
      <c r="X190" s="27"/>
      <c r="Y190" s="27"/>
      <c r="Z190" s="27"/>
    </row>
    <row r="191" spans="1:26" ht="15" customHeight="1" x14ac:dyDescent="0.35">
      <c r="A191" s="83" t="s">
        <v>1124</v>
      </c>
      <c r="B191" s="112" t="s">
        <v>1126</v>
      </c>
      <c r="C191" s="33" t="s">
        <v>215</v>
      </c>
      <c r="D191" s="86"/>
      <c r="E191" s="86"/>
      <c r="F191" s="87"/>
      <c r="G191" s="86"/>
      <c r="H191" s="86"/>
      <c r="I191" s="91"/>
      <c r="J191" s="106"/>
      <c r="K191" s="102"/>
      <c r="L191" s="102"/>
      <c r="M191" s="102"/>
      <c r="N191" s="102"/>
      <c r="O191" s="102"/>
      <c r="P191" s="102"/>
      <c r="Q191" s="93">
        <f t="shared" si="0"/>
        <v>0</v>
      </c>
      <c r="R191" s="95">
        <f t="shared" si="1"/>
        <v>0</v>
      </c>
      <c r="S191" s="97">
        <f t="shared" si="2"/>
        <v>0</v>
      </c>
      <c r="T191" s="27"/>
      <c r="U191" s="27"/>
      <c r="V191" s="27"/>
      <c r="W191" s="27"/>
      <c r="X191" s="27"/>
      <c r="Y191" s="27"/>
      <c r="Z191" s="27"/>
    </row>
    <row r="192" spans="1:26" ht="15" customHeight="1" x14ac:dyDescent="0.35">
      <c r="A192" s="83" t="s">
        <v>1127</v>
      </c>
      <c r="B192" s="47" t="s">
        <v>312</v>
      </c>
      <c r="C192" s="105" t="s">
        <v>1128</v>
      </c>
      <c r="D192" s="86"/>
      <c r="E192" s="86"/>
      <c r="F192" s="87"/>
      <c r="G192" s="86"/>
      <c r="H192" s="86"/>
      <c r="I192" s="91"/>
      <c r="J192" s="106"/>
      <c r="K192" s="102"/>
      <c r="L192" s="102"/>
      <c r="M192" s="102"/>
      <c r="N192" s="102"/>
      <c r="O192" s="102"/>
      <c r="P192" s="102"/>
      <c r="Q192" s="93">
        <f t="shared" si="0"/>
        <v>0</v>
      </c>
      <c r="R192" s="95">
        <f t="shared" si="1"/>
        <v>0</v>
      </c>
      <c r="S192" s="97">
        <f t="shared" si="2"/>
        <v>0</v>
      </c>
      <c r="T192" s="27"/>
      <c r="U192" s="27"/>
      <c r="V192" s="27"/>
      <c r="W192" s="27"/>
      <c r="X192" s="27"/>
      <c r="Y192" s="27"/>
      <c r="Z192" s="27"/>
    </row>
    <row r="193" spans="1:26" ht="15" customHeight="1" x14ac:dyDescent="0.35">
      <c r="A193" s="83" t="s">
        <v>1131</v>
      </c>
      <c r="B193" s="47" t="s">
        <v>682</v>
      </c>
      <c r="C193" s="33" t="s">
        <v>1132</v>
      </c>
      <c r="D193" s="86"/>
      <c r="E193" s="86"/>
      <c r="F193" s="87"/>
      <c r="G193" s="86"/>
      <c r="H193" s="86"/>
      <c r="I193" s="91"/>
      <c r="J193" s="106"/>
      <c r="K193" s="102"/>
      <c r="L193" s="102"/>
      <c r="M193" s="102"/>
      <c r="N193" s="102"/>
      <c r="O193" s="102"/>
      <c r="P193" s="102"/>
      <c r="Q193" s="93">
        <f t="shared" si="0"/>
        <v>0</v>
      </c>
      <c r="R193" s="95">
        <f t="shared" si="1"/>
        <v>0</v>
      </c>
      <c r="S193" s="97">
        <f t="shared" si="2"/>
        <v>0</v>
      </c>
      <c r="T193" s="27"/>
      <c r="U193" s="27"/>
      <c r="V193" s="27"/>
      <c r="W193" s="27"/>
      <c r="X193" s="27"/>
      <c r="Y193" s="27"/>
      <c r="Z193" s="27"/>
    </row>
    <row r="194" spans="1:26" ht="15" customHeight="1" x14ac:dyDescent="0.35">
      <c r="A194" s="83" t="s">
        <v>1135</v>
      </c>
      <c r="B194" s="47" t="s">
        <v>367</v>
      </c>
      <c r="C194" s="127" t="s">
        <v>1136</v>
      </c>
      <c r="D194" s="105"/>
      <c r="E194" s="86"/>
      <c r="F194" s="86"/>
      <c r="G194" s="86"/>
      <c r="H194" s="86"/>
      <c r="I194" s="91"/>
      <c r="J194" s="106"/>
      <c r="K194" s="102"/>
      <c r="L194" s="102"/>
      <c r="M194" s="102"/>
      <c r="N194" s="102"/>
      <c r="O194" s="102"/>
      <c r="P194" s="102"/>
      <c r="Q194" s="93">
        <f t="shared" si="0"/>
        <v>0</v>
      </c>
      <c r="R194" s="95">
        <f t="shared" si="1"/>
        <v>0</v>
      </c>
      <c r="S194" s="97">
        <f t="shared" si="2"/>
        <v>0</v>
      </c>
      <c r="T194" s="27"/>
      <c r="U194" s="27"/>
      <c r="V194" s="27"/>
      <c r="W194" s="27"/>
      <c r="X194" s="27"/>
      <c r="Y194" s="27"/>
      <c r="Z194" s="27"/>
    </row>
    <row r="195" spans="1:26" ht="15" customHeight="1" x14ac:dyDescent="0.35">
      <c r="A195" s="83"/>
      <c r="B195" s="47" t="s">
        <v>1139</v>
      </c>
      <c r="C195" s="127" t="s">
        <v>75</v>
      </c>
      <c r="D195" s="105"/>
      <c r="E195" s="86"/>
      <c r="F195" s="86"/>
      <c r="G195" s="86"/>
      <c r="H195" s="86"/>
      <c r="I195" s="91"/>
      <c r="J195" s="86"/>
      <c r="K195" s="32"/>
      <c r="L195" s="32"/>
      <c r="M195" s="32"/>
      <c r="N195" s="32"/>
      <c r="O195" s="32"/>
      <c r="P195" s="32"/>
      <c r="Q195" s="93">
        <f t="shared" si="0"/>
        <v>0</v>
      </c>
      <c r="R195" s="95">
        <f t="shared" si="1"/>
        <v>0</v>
      </c>
      <c r="S195" s="97">
        <f t="shared" si="2"/>
        <v>0</v>
      </c>
      <c r="T195" s="27"/>
      <c r="U195" s="27"/>
      <c r="V195" s="27"/>
      <c r="W195" s="27"/>
      <c r="X195" s="27"/>
      <c r="Y195" s="27"/>
      <c r="Z195" s="27"/>
    </row>
    <row r="196" spans="1:26" ht="15" customHeight="1" x14ac:dyDescent="0.35">
      <c r="A196" s="83" t="s">
        <v>1147</v>
      </c>
      <c r="B196" s="47" t="s">
        <v>258</v>
      </c>
      <c r="C196" s="127" t="s">
        <v>1148</v>
      </c>
      <c r="D196" s="105"/>
      <c r="E196" s="86"/>
      <c r="F196" s="86"/>
      <c r="G196" s="86"/>
      <c r="H196" s="86"/>
      <c r="I196" s="91"/>
      <c r="J196" s="106"/>
      <c r="K196" s="102"/>
      <c r="L196" s="102"/>
      <c r="M196" s="102"/>
      <c r="N196" s="102"/>
      <c r="O196" s="102"/>
      <c r="P196" s="102"/>
      <c r="Q196" s="93">
        <f t="shared" si="0"/>
        <v>0</v>
      </c>
      <c r="R196" s="95">
        <f t="shared" si="1"/>
        <v>0</v>
      </c>
      <c r="S196" s="97">
        <f t="shared" si="2"/>
        <v>0</v>
      </c>
      <c r="T196" s="27"/>
      <c r="U196" s="27"/>
      <c r="V196" s="27"/>
      <c r="W196" s="27"/>
      <c r="X196" s="27"/>
      <c r="Y196" s="27"/>
      <c r="Z196" s="27"/>
    </row>
    <row r="197" spans="1:26" ht="15" customHeight="1" x14ac:dyDescent="0.35">
      <c r="A197" s="83" t="s">
        <v>1153</v>
      </c>
      <c r="B197" s="47" t="s">
        <v>328</v>
      </c>
      <c r="C197" s="1" t="s">
        <v>1154</v>
      </c>
      <c r="D197" s="84"/>
      <c r="E197" s="86"/>
      <c r="F197" s="87"/>
      <c r="G197" s="86"/>
      <c r="H197" s="86"/>
      <c r="I197" s="91"/>
      <c r="J197" s="92"/>
      <c r="K197" s="32"/>
      <c r="L197" s="32"/>
      <c r="M197" s="32"/>
      <c r="N197" s="32"/>
      <c r="O197" s="32"/>
      <c r="P197" s="32"/>
      <c r="Q197" s="93">
        <f t="shared" si="0"/>
        <v>0</v>
      </c>
      <c r="R197" s="95">
        <f t="shared" si="1"/>
        <v>0</v>
      </c>
      <c r="S197" s="97">
        <f t="shared" si="2"/>
        <v>0</v>
      </c>
      <c r="T197" s="27"/>
      <c r="U197" s="27"/>
      <c r="V197" s="27"/>
      <c r="W197" s="27"/>
      <c r="X197" s="27"/>
      <c r="Y197" s="27"/>
      <c r="Z197" s="27"/>
    </row>
    <row r="198" spans="1:26" ht="15" customHeight="1" x14ac:dyDescent="0.35">
      <c r="A198" s="83" t="s">
        <v>1159</v>
      </c>
      <c r="B198" s="47" t="s">
        <v>377</v>
      </c>
      <c r="C198" s="33" t="s">
        <v>113</v>
      </c>
      <c r="D198" s="105"/>
      <c r="E198" s="86"/>
      <c r="F198" s="87"/>
      <c r="G198" s="86"/>
      <c r="H198" s="86"/>
      <c r="I198" s="91"/>
      <c r="J198" s="106"/>
      <c r="K198" s="102"/>
      <c r="L198" s="102"/>
      <c r="M198" s="102"/>
      <c r="N198" s="102"/>
      <c r="O198" s="102"/>
      <c r="P198" s="102"/>
      <c r="Q198" s="93">
        <f t="shared" si="0"/>
        <v>0</v>
      </c>
      <c r="R198" s="95">
        <f t="shared" si="1"/>
        <v>0</v>
      </c>
      <c r="S198" s="97">
        <f t="shared" si="2"/>
        <v>0</v>
      </c>
      <c r="T198" s="27"/>
      <c r="U198" s="27"/>
      <c r="V198" s="27"/>
      <c r="W198" s="27"/>
      <c r="X198" s="27"/>
      <c r="Y198" s="27"/>
      <c r="Z198" s="27"/>
    </row>
    <row r="199" spans="1:26" ht="15" customHeight="1" x14ac:dyDescent="0.35">
      <c r="A199" s="83" t="s">
        <v>1161</v>
      </c>
      <c r="B199" s="47" t="s">
        <v>1162</v>
      </c>
      <c r="C199" s="105" t="s">
        <v>282</v>
      </c>
      <c r="D199" s="86"/>
      <c r="E199" s="86"/>
      <c r="F199" s="87"/>
      <c r="G199" s="86"/>
      <c r="H199" s="86"/>
      <c r="I199" s="91"/>
      <c r="J199" s="86"/>
      <c r="K199" s="32"/>
      <c r="L199" s="32"/>
      <c r="M199" s="32"/>
      <c r="N199" s="32"/>
      <c r="O199" s="32"/>
      <c r="P199" s="32"/>
      <c r="Q199" s="93">
        <f t="shared" si="0"/>
        <v>0</v>
      </c>
      <c r="R199" s="95">
        <f t="shared" si="1"/>
        <v>0</v>
      </c>
      <c r="S199" s="97">
        <f t="shared" si="2"/>
        <v>0</v>
      </c>
      <c r="T199" s="27"/>
      <c r="U199" s="27"/>
      <c r="V199" s="27"/>
      <c r="W199" s="27"/>
      <c r="X199" s="27"/>
      <c r="Y199" s="27"/>
      <c r="Z199" s="27"/>
    </row>
    <row r="200" spans="1:26" ht="15" customHeight="1" x14ac:dyDescent="0.35">
      <c r="A200" s="83" t="s">
        <v>1165</v>
      </c>
      <c r="B200" s="132" t="s">
        <v>125</v>
      </c>
      <c r="C200" s="1" t="s">
        <v>1166</v>
      </c>
      <c r="D200" s="105"/>
      <c r="E200" s="86"/>
      <c r="F200" s="86"/>
      <c r="G200" s="86"/>
      <c r="H200" s="86"/>
      <c r="I200" s="91"/>
      <c r="J200" s="105"/>
      <c r="K200" s="32"/>
      <c r="L200" s="32"/>
      <c r="M200" s="32"/>
      <c r="N200" s="32"/>
      <c r="O200" s="32"/>
      <c r="P200" s="32"/>
      <c r="Q200" s="93">
        <f t="shared" si="0"/>
        <v>0</v>
      </c>
      <c r="R200" s="95">
        <f t="shared" si="1"/>
        <v>0</v>
      </c>
      <c r="S200" s="97">
        <f t="shared" si="2"/>
        <v>0</v>
      </c>
      <c r="T200" s="27"/>
      <c r="U200" s="27"/>
      <c r="V200" s="27"/>
      <c r="W200" s="27"/>
      <c r="X200" s="27"/>
      <c r="Y200" s="27"/>
      <c r="Z200" s="27"/>
    </row>
    <row r="201" spans="1:26" ht="15" customHeight="1" x14ac:dyDescent="0.35">
      <c r="A201" s="83" t="s">
        <v>1169</v>
      </c>
      <c r="B201" s="98" t="s">
        <v>307</v>
      </c>
      <c r="C201" s="1" t="s">
        <v>1170</v>
      </c>
      <c r="D201" s="86"/>
      <c r="E201" s="86"/>
      <c r="F201" s="87"/>
      <c r="G201" s="86"/>
      <c r="H201" s="86"/>
      <c r="I201" s="91"/>
      <c r="J201" s="116"/>
      <c r="K201" s="102"/>
      <c r="L201" s="102"/>
      <c r="M201" s="102"/>
      <c r="N201" s="102"/>
      <c r="O201" s="102"/>
      <c r="P201" s="102"/>
      <c r="Q201" s="93">
        <f t="shared" si="0"/>
        <v>0</v>
      </c>
      <c r="R201" s="95">
        <f t="shared" si="1"/>
        <v>0</v>
      </c>
      <c r="S201" s="97">
        <f t="shared" si="2"/>
        <v>0</v>
      </c>
      <c r="T201" s="27"/>
      <c r="U201" s="27"/>
      <c r="V201" s="27"/>
      <c r="W201" s="27"/>
      <c r="X201" s="27"/>
      <c r="Y201" s="27"/>
      <c r="Z201" s="27"/>
    </row>
    <row r="202" spans="1:26" ht="15" customHeight="1" x14ac:dyDescent="0.35">
      <c r="A202" s="83" t="s">
        <v>1175</v>
      </c>
      <c r="B202" s="98" t="s">
        <v>700</v>
      </c>
      <c r="C202" s="1" t="s">
        <v>381</v>
      </c>
      <c r="D202" s="86"/>
      <c r="E202" s="86"/>
      <c r="F202" s="87"/>
      <c r="G202" s="86"/>
      <c r="H202" s="86"/>
      <c r="I202" s="91"/>
      <c r="J202" s="108"/>
      <c r="K202" s="32"/>
      <c r="L202" s="32"/>
      <c r="M202" s="32"/>
      <c r="N202" s="32"/>
      <c r="O202" s="32"/>
      <c r="P202" s="32"/>
      <c r="Q202" s="93">
        <f t="shared" si="0"/>
        <v>0</v>
      </c>
      <c r="R202" s="95">
        <f t="shared" si="1"/>
        <v>0</v>
      </c>
      <c r="S202" s="97">
        <f t="shared" si="2"/>
        <v>0</v>
      </c>
      <c r="T202" s="27"/>
      <c r="U202" s="27"/>
      <c r="V202" s="27"/>
      <c r="W202" s="27"/>
      <c r="X202" s="27"/>
      <c r="Y202" s="27"/>
      <c r="Z202" s="27"/>
    </row>
    <row r="203" spans="1:26" ht="15" customHeight="1" x14ac:dyDescent="0.35">
      <c r="A203" s="83" t="s">
        <v>1180</v>
      </c>
      <c r="B203" s="98" t="s">
        <v>1181</v>
      </c>
      <c r="C203" s="1" t="s">
        <v>140</v>
      </c>
      <c r="D203" s="86"/>
      <c r="E203" s="86"/>
      <c r="F203" s="87"/>
      <c r="G203" s="86"/>
      <c r="H203" s="86"/>
      <c r="I203" s="91"/>
      <c r="J203" s="92"/>
      <c r="K203" s="32"/>
      <c r="L203" s="32"/>
      <c r="M203" s="32"/>
      <c r="N203" s="32"/>
      <c r="O203" s="32"/>
      <c r="P203" s="32"/>
      <c r="Q203" s="93">
        <f t="shared" si="0"/>
        <v>0</v>
      </c>
      <c r="R203" s="95">
        <f t="shared" si="1"/>
        <v>0</v>
      </c>
      <c r="S203" s="97">
        <f t="shared" si="2"/>
        <v>0</v>
      </c>
      <c r="T203" s="27"/>
      <c r="U203" s="27"/>
      <c r="V203" s="27"/>
      <c r="W203" s="27"/>
      <c r="X203" s="27"/>
      <c r="Y203" s="27"/>
      <c r="Z203" s="27"/>
    </row>
    <row r="204" spans="1:26" ht="15" customHeight="1" x14ac:dyDescent="0.35">
      <c r="A204" s="83" t="s">
        <v>1182</v>
      </c>
      <c r="B204" s="112" t="s">
        <v>1183</v>
      </c>
      <c r="C204" s="33" t="s">
        <v>1184</v>
      </c>
      <c r="D204" s="86"/>
      <c r="E204" s="86"/>
      <c r="F204" s="87"/>
      <c r="G204" s="86"/>
      <c r="H204" s="86"/>
      <c r="I204" s="91"/>
      <c r="J204" s="106"/>
      <c r="K204" s="102"/>
      <c r="L204" s="102"/>
      <c r="M204" s="102"/>
      <c r="N204" s="102"/>
      <c r="O204" s="102"/>
      <c r="P204" s="102"/>
      <c r="Q204" s="93">
        <f t="shared" si="0"/>
        <v>0</v>
      </c>
      <c r="R204" s="95">
        <f t="shared" si="1"/>
        <v>0</v>
      </c>
      <c r="S204" s="97">
        <f t="shared" si="2"/>
        <v>0</v>
      </c>
      <c r="T204" s="27"/>
      <c r="U204" s="27"/>
      <c r="V204" s="27"/>
      <c r="W204" s="27"/>
      <c r="X204" s="27"/>
      <c r="Y204" s="27"/>
      <c r="Z204" s="27"/>
    </row>
    <row r="205" spans="1:26" ht="15" customHeight="1" x14ac:dyDescent="0.35">
      <c r="A205" s="83" t="s">
        <v>1186</v>
      </c>
      <c r="B205" s="47" t="s">
        <v>440</v>
      </c>
      <c r="C205" s="1" t="s">
        <v>113</v>
      </c>
      <c r="D205" s="84"/>
      <c r="E205" s="86"/>
      <c r="F205" s="87"/>
      <c r="G205" s="86"/>
      <c r="H205" s="86"/>
      <c r="I205" s="91"/>
      <c r="J205" s="116"/>
      <c r="K205" s="102"/>
      <c r="L205" s="102"/>
      <c r="M205" s="102"/>
      <c r="N205" s="102"/>
      <c r="O205" s="102"/>
      <c r="P205" s="102"/>
      <c r="Q205" s="93">
        <f t="shared" si="0"/>
        <v>0</v>
      </c>
      <c r="R205" s="95">
        <f t="shared" si="1"/>
        <v>0</v>
      </c>
      <c r="S205" s="97">
        <f t="shared" si="2"/>
        <v>0</v>
      </c>
      <c r="T205" s="27"/>
      <c r="U205" s="27"/>
      <c r="V205" s="27"/>
      <c r="W205" s="27"/>
      <c r="X205" s="27"/>
      <c r="Y205" s="27"/>
      <c r="Z205" s="27"/>
    </row>
    <row r="206" spans="1:26" ht="15" customHeight="1" x14ac:dyDescent="0.35">
      <c r="A206" s="83" t="s">
        <v>1191</v>
      </c>
      <c r="B206" s="112" t="s">
        <v>1192</v>
      </c>
      <c r="C206" s="33" t="s">
        <v>140</v>
      </c>
      <c r="D206" s="86"/>
      <c r="E206" s="86"/>
      <c r="F206" s="87"/>
      <c r="G206" s="86"/>
      <c r="H206" s="86"/>
      <c r="I206" s="91"/>
      <c r="J206" s="106"/>
      <c r="K206" s="102"/>
      <c r="L206" s="102"/>
      <c r="M206" s="102"/>
      <c r="N206" s="102"/>
      <c r="O206" s="102"/>
      <c r="P206" s="102"/>
      <c r="Q206" s="93">
        <f t="shared" si="0"/>
        <v>0</v>
      </c>
      <c r="R206" s="95">
        <f t="shared" si="1"/>
        <v>0</v>
      </c>
      <c r="S206" s="97">
        <f t="shared" si="2"/>
        <v>0</v>
      </c>
      <c r="T206" s="27"/>
      <c r="U206" s="27"/>
      <c r="V206" s="27"/>
      <c r="W206" s="27"/>
      <c r="X206" s="27"/>
      <c r="Y206" s="27"/>
      <c r="Z206" s="27"/>
    </row>
    <row r="207" spans="1:26" ht="15" customHeight="1" x14ac:dyDescent="0.35">
      <c r="A207" s="83" t="s">
        <v>1194</v>
      </c>
      <c r="B207" s="47" t="s">
        <v>1195</v>
      </c>
      <c r="C207" s="1" t="s">
        <v>140</v>
      </c>
      <c r="D207" s="84"/>
      <c r="E207" s="86"/>
      <c r="F207" s="87"/>
      <c r="G207" s="86"/>
      <c r="H207" s="86"/>
      <c r="I207" s="91"/>
      <c r="J207" s="116"/>
      <c r="K207" s="102"/>
      <c r="L207" s="102"/>
      <c r="M207" s="102"/>
      <c r="N207" s="102"/>
      <c r="O207" s="102"/>
      <c r="P207" s="102"/>
      <c r="Q207" s="93">
        <f t="shared" si="0"/>
        <v>0</v>
      </c>
      <c r="R207" s="95">
        <f t="shared" si="1"/>
        <v>0</v>
      </c>
      <c r="S207" s="97">
        <f t="shared" si="2"/>
        <v>0</v>
      </c>
      <c r="T207" s="27"/>
      <c r="U207" s="27"/>
      <c r="V207" s="27"/>
      <c r="W207" s="27"/>
      <c r="X207" s="27"/>
      <c r="Y207" s="27"/>
      <c r="Z207" s="27"/>
    </row>
    <row r="208" spans="1:26" ht="15.75" customHeight="1" x14ac:dyDescent="0.35">
      <c r="A208" s="83" t="s">
        <v>1197</v>
      </c>
      <c r="B208" s="47" t="s">
        <v>67</v>
      </c>
      <c r="C208" s="1" t="s">
        <v>889</v>
      </c>
      <c r="D208" s="105"/>
      <c r="E208" s="86"/>
      <c r="F208" s="87"/>
      <c r="G208" s="86"/>
      <c r="H208" s="86"/>
      <c r="I208" s="91"/>
      <c r="J208" s="100"/>
      <c r="K208" s="102"/>
      <c r="L208" s="102"/>
      <c r="M208" s="102"/>
      <c r="N208" s="102"/>
      <c r="O208" s="102"/>
      <c r="P208" s="102"/>
      <c r="Q208" s="93">
        <f t="shared" si="0"/>
        <v>0</v>
      </c>
      <c r="R208" s="95">
        <f t="shared" si="1"/>
        <v>0</v>
      </c>
      <c r="S208" s="97">
        <f t="shared" si="2"/>
        <v>0</v>
      </c>
      <c r="T208" s="27"/>
      <c r="U208" s="27"/>
      <c r="V208" s="27"/>
      <c r="W208" s="27"/>
      <c r="X208" s="27"/>
      <c r="Y208" s="27"/>
      <c r="Z208" s="27"/>
    </row>
    <row r="209" spans="1:26" ht="13.5" customHeight="1" x14ac:dyDescent="0.35">
      <c r="A209" s="83" t="s">
        <v>1202</v>
      </c>
      <c r="B209" s="112" t="s">
        <v>1203</v>
      </c>
      <c r="C209" s="1" t="s">
        <v>131</v>
      </c>
      <c r="D209" s="86"/>
      <c r="E209" s="86"/>
      <c r="F209" s="87"/>
      <c r="G209" s="86"/>
      <c r="H209" s="86"/>
      <c r="I209" s="91"/>
      <c r="J209" s="106"/>
      <c r="K209" s="102"/>
      <c r="L209" s="102"/>
      <c r="M209" s="102"/>
      <c r="N209" s="102"/>
      <c r="O209" s="102"/>
      <c r="P209" s="102"/>
      <c r="Q209" s="93">
        <f t="shared" si="0"/>
        <v>0</v>
      </c>
      <c r="R209" s="95">
        <f t="shared" si="1"/>
        <v>0</v>
      </c>
      <c r="S209" s="97">
        <f t="shared" si="2"/>
        <v>0</v>
      </c>
      <c r="T209" s="27"/>
      <c r="U209" s="27"/>
      <c r="V209" s="27"/>
      <c r="W209" s="27"/>
      <c r="X209" s="27"/>
      <c r="Y209" s="27"/>
      <c r="Z209" s="27"/>
    </row>
    <row r="210" spans="1:26" ht="15" customHeight="1" x14ac:dyDescent="0.35">
      <c r="A210" s="83" t="s">
        <v>1207</v>
      </c>
      <c r="B210" s="47" t="s">
        <v>544</v>
      </c>
      <c r="C210" s="1" t="s">
        <v>1050</v>
      </c>
      <c r="D210" s="84"/>
      <c r="E210" s="86"/>
      <c r="F210" s="87"/>
      <c r="G210" s="86"/>
      <c r="H210" s="86"/>
      <c r="I210" s="91"/>
      <c r="J210" s="116"/>
      <c r="K210" s="102"/>
      <c r="L210" s="102"/>
      <c r="M210" s="102"/>
      <c r="N210" s="102"/>
      <c r="O210" s="102"/>
      <c r="P210" s="102"/>
      <c r="Q210" s="93">
        <f t="shared" si="0"/>
        <v>0</v>
      </c>
      <c r="R210" s="95">
        <f t="shared" si="1"/>
        <v>0</v>
      </c>
      <c r="S210" s="97">
        <f t="shared" si="2"/>
        <v>0</v>
      </c>
      <c r="T210" s="27"/>
      <c r="U210" s="27"/>
      <c r="V210" s="27"/>
      <c r="W210" s="27"/>
      <c r="X210" s="27"/>
      <c r="Y210" s="27"/>
      <c r="Z210" s="27"/>
    </row>
    <row r="211" spans="1:26" ht="15" customHeight="1" x14ac:dyDescent="0.35">
      <c r="A211" s="83" t="s">
        <v>1213</v>
      </c>
      <c r="B211" s="47" t="s">
        <v>421</v>
      </c>
      <c r="C211" s="105" t="s">
        <v>113</v>
      </c>
      <c r="D211" s="84"/>
      <c r="E211" s="86"/>
      <c r="F211" s="87"/>
      <c r="G211" s="86"/>
      <c r="H211" s="86"/>
      <c r="I211" s="91"/>
      <c r="J211" s="116"/>
      <c r="K211" s="102"/>
      <c r="L211" s="102"/>
      <c r="M211" s="102"/>
      <c r="N211" s="102"/>
      <c r="O211" s="102"/>
      <c r="P211" s="102"/>
      <c r="Q211" s="93">
        <f t="shared" si="0"/>
        <v>0</v>
      </c>
      <c r="R211" s="95">
        <f t="shared" si="1"/>
        <v>0</v>
      </c>
      <c r="S211" s="97">
        <f t="shared" si="2"/>
        <v>0</v>
      </c>
      <c r="T211" s="27"/>
      <c r="U211" s="27"/>
      <c r="V211" s="27"/>
      <c r="W211" s="27"/>
      <c r="X211" s="27"/>
      <c r="Y211" s="27"/>
      <c r="Z211" s="27"/>
    </row>
    <row r="212" spans="1:26" ht="15" customHeight="1" x14ac:dyDescent="0.35">
      <c r="A212" s="83" t="s">
        <v>1219</v>
      </c>
      <c r="B212" s="47" t="s">
        <v>531</v>
      </c>
      <c r="C212" s="1" t="s">
        <v>1220</v>
      </c>
      <c r="D212" s="84"/>
      <c r="E212" s="86"/>
      <c r="F212" s="87"/>
      <c r="G212" s="86"/>
      <c r="H212" s="86"/>
      <c r="I212" s="91"/>
      <c r="J212" s="116"/>
      <c r="K212" s="102"/>
      <c r="L212" s="102"/>
      <c r="M212" s="102"/>
      <c r="N212" s="102"/>
      <c r="O212" s="102"/>
      <c r="P212" s="102"/>
      <c r="Q212" s="93">
        <f t="shared" si="0"/>
        <v>0</v>
      </c>
      <c r="R212" s="95">
        <f t="shared" si="1"/>
        <v>0</v>
      </c>
      <c r="S212" s="97">
        <f t="shared" si="2"/>
        <v>0</v>
      </c>
      <c r="T212" s="27"/>
      <c r="U212" s="27"/>
      <c r="V212" s="27"/>
      <c r="W212" s="27"/>
      <c r="X212" s="27"/>
      <c r="Y212" s="27"/>
      <c r="Z212" s="27"/>
    </row>
    <row r="213" spans="1:26" ht="15" customHeight="1" x14ac:dyDescent="0.35">
      <c r="A213" s="83" t="s">
        <v>1224</v>
      </c>
      <c r="B213" s="112" t="s">
        <v>1226</v>
      </c>
      <c r="C213" s="33" t="s">
        <v>1227</v>
      </c>
      <c r="D213" s="86"/>
      <c r="E213" s="86"/>
      <c r="F213" s="87"/>
      <c r="G213" s="86"/>
      <c r="H213" s="86"/>
      <c r="I213" s="91"/>
      <c r="J213" s="106"/>
      <c r="K213" s="102"/>
      <c r="L213" s="102"/>
      <c r="M213" s="102"/>
      <c r="N213" s="102"/>
      <c r="O213" s="102"/>
      <c r="P213" s="102"/>
      <c r="Q213" s="93">
        <f t="shared" si="0"/>
        <v>0</v>
      </c>
      <c r="R213" s="95">
        <f t="shared" si="1"/>
        <v>0</v>
      </c>
      <c r="S213" s="97">
        <f t="shared" si="2"/>
        <v>0</v>
      </c>
      <c r="T213" s="27"/>
      <c r="U213" s="27"/>
      <c r="V213" s="27"/>
      <c r="W213" s="27"/>
      <c r="X213" s="27"/>
      <c r="Y213" s="27"/>
      <c r="Z213" s="27"/>
    </row>
    <row r="214" spans="1:26" ht="15" customHeight="1" x14ac:dyDescent="0.35">
      <c r="A214" s="83" t="s">
        <v>1230</v>
      </c>
      <c r="B214" s="98" t="s">
        <v>182</v>
      </c>
      <c r="C214" s="1" t="s">
        <v>164</v>
      </c>
      <c r="D214" s="86"/>
      <c r="E214" s="86"/>
      <c r="F214" s="87"/>
      <c r="G214" s="86"/>
      <c r="H214" s="86"/>
      <c r="I214" s="91"/>
      <c r="J214" s="128"/>
      <c r="K214" s="102"/>
      <c r="L214" s="102"/>
      <c r="M214" s="102"/>
      <c r="N214" s="102"/>
      <c r="O214" s="102"/>
      <c r="P214" s="102"/>
      <c r="Q214" s="93">
        <f t="shared" si="0"/>
        <v>0</v>
      </c>
      <c r="R214" s="95">
        <f t="shared" si="1"/>
        <v>0</v>
      </c>
      <c r="S214" s="97">
        <f t="shared" si="2"/>
        <v>0</v>
      </c>
      <c r="T214" s="27"/>
      <c r="U214" s="27"/>
      <c r="V214" s="27"/>
      <c r="W214" s="27"/>
      <c r="X214" s="27"/>
      <c r="Y214" s="27"/>
      <c r="Z214" s="27"/>
    </row>
    <row r="215" spans="1:26" ht="15" customHeight="1" x14ac:dyDescent="0.35">
      <c r="A215" s="83" t="s">
        <v>1241</v>
      </c>
      <c r="B215" s="132" t="s">
        <v>643</v>
      </c>
      <c r="C215" s="105" t="s">
        <v>1242</v>
      </c>
      <c r="D215" s="105"/>
      <c r="E215" s="105"/>
      <c r="F215" s="117"/>
      <c r="G215" s="86"/>
      <c r="H215" s="86"/>
      <c r="I215" s="91"/>
      <c r="J215" s="100"/>
      <c r="K215" s="102"/>
      <c r="L215" s="102"/>
      <c r="M215" s="102"/>
      <c r="N215" s="102"/>
      <c r="O215" s="102"/>
      <c r="P215" s="102"/>
      <c r="Q215" s="93">
        <f t="shared" si="0"/>
        <v>0</v>
      </c>
      <c r="R215" s="95">
        <f t="shared" si="1"/>
        <v>0</v>
      </c>
      <c r="S215" s="97">
        <f t="shared" si="2"/>
        <v>0</v>
      </c>
      <c r="T215" s="27"/>
      <c r="U215" s="27"/>
      <c r="V215" s="27"/>
      <c r="W215" s="27"/>
      <c r="X215" s="27"/>
      <c r="Y215" s="27"/>
      <c r="Z215" s="27"/>
    </row>
    <row r="216" spans="1:26" ht="15" customHeight="1" x14ac:dyDescent="0.35">
      <c r="A216" s="83" t="s">
        <v>1251</v>
      </c>
      <c r="B216" s="47" t="s">
        <v>1252</v>
      </c>
      <c r="C216" s="1" t="s">
        <v>1254</v>
      </c>
      <c r="D216" s="105"/>
      <c r="E216" s="87"/>
      <c r="F216" s="87"/>
      <c r="G216" s="86"/>
      <c r="H216" s="86"/>
      <c r="I216" s="91"/>
      <c r="J216" s="100"/>
      <c r="K216" s="102"/>
      <c r="L216" s="102"/>
      <c r="M216" s="102"/>
      <c r="N216" s="102"/>
      <c r="O216" s="102"/>
      <c r="P216" s="102"/>
      <c r="Q216" s="93">
        <f t="shared" si="0"/>
        <v>0</v>
      </c>
      <c r="R216" s="95">
        <f t="shared" si="1"/>
        <v>0</v>
      </c>
      <c r="S216" s="97">
        <f t="shared" si="2"/>
        <v>0</v>
      </c>
      <c r="T216" s="27"/>
      <c r="U216" s="27"/>
      <c r="V216" s="27"/>
      <c r="W216" s="27"/>
      <c r="X216" s="27"/>
      <c r="Y216" s="27"/>
      <c r="Z216" s="27"/>
    </row>
    <row r="217" spans="1:26" ht="15" customHeight="1" x14ac:dyDescent="0.35">
      <c r="A217" s="83" t="s">
        <v>1259</v>
      </c>
      <c r="B217" s="47" t="s">
        <v>1260</v>
      </c>
      <c r="C217" s="33" t="s">
        <v>641</v>
      </c>
      <c r="D217" s="136"/>
      <c r="E217" s="86"/>
      <c r="F217" s="87"/>
      <c r="G217" s="86"/>
      <c r="H217" s="86"/>
      <c r="I217" s="91"/>
      <c r="J217" s="86"/>
      <c r="K217" s="32"/>
      <c r="L217" s="32"/>
      <c r="M217" s="32"/>
      <c r="N217" s="32"/>
      <c r="O217" s="32"/>
      <c r="P217" s="32"/>
      <c r="Q217" s="93">
        <f t="shared" si="0"/>
        <v>0</v>
      </c>
      <c r="R217" s="95">
        <f t="shared" si="1"/>
        <v>0</v>
      </c>
      <c r="S217" s="97">
        <f t="shared" si="2"/>
        <v>0</v>
      </c>
      <c r="T217" s="27"/>
      <c r="U217" s="27"/>
      <c r="V217" s="27"/>
      <c r="W217" s="27"/>
      <c r="X217" s="27"/>
      <c r="Y217" s="27"/>
      <c r="Z217" s="27"/>
    </row>
    <row r="218" spans="1:26" ht="15" customHeight="1" x14ac:dyDescent="0.35">
      <c r="A218" s="83" t="s">
        <v>1265</v>
      </c>
      <c r="B218" s="47" t="s">
        <v>748</v>
      </c>
      <c r="C218" s="1" t="s">
        <v>1266</v>
      </c>
      <c r="D218" s="84"/>
      <c r="E218" s="86"/>
      <c r="F218" s="87"/>
      <c r="G218" s="86"/>
      <c r="H218" s="86"/>
      <c r="I218" s="91"/>
      <c r="J218" s="92"/>
      <c r="K218" s="32"/>
      <c r="L218" s="32"/>
      <c r="M218" s="32"/>
      <c r="N218" s="32"/>
      <c r="O218" s="32"/>
      <c r="P218" s="32"/>
      <c r="Q218" s="93">
        <f t="shared" si="0"/>
        <v>0</v>
      </c>
      <c r="R218" s="95">
        <f t="shared" si="1"/>
        <v>0</v>
      </c>
      <c r="S218" s="97">
        <f t="shared" si="2"/>
        <v>0</v>
      </c>
      <c r="T218" s="27"/>
      <c r="U218" s="27"/>
      <c r="V218" s="27"/>
      <c r="W218" s="27"/>
      <c r="X218" s="27"/>
      <c r="Y218" s="27"/>
      <c r="Z218" s="27"/>
    </row>
    <row r="219" spans="1:26" ht="15" customHeight="1" x14ac:dyDescent="0.35">
      <c r="A219" s="60"/>
      <c r="B219" s="312" t="s">
        <v>620</v>
      </c>
      <c r="C219" s="29"/>
      <c r="D219" s="313"/>
      <c r="E219" s="313"/>
      <c r="F219" s="313"/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>
        <f t="shared" ref="D219:Q219" si="3">SUM(Q9:Q218)</f>
        <v>0</v>
      </c>
      <c r="R219" s="316">
        <f t="shared" si="1"/>
        <v>0</v>
      </c>
      <c r="S219" s="317">
        <f t="shared" si="2"/>
        <v>0</v>
      </c>
      <c r="T219" s="320"/>
      <c r="U219" s="320"/>
      <c r="V219" s="320"/>
      <c r="W219" s="320"/>
      <c r="X219" s="320"/>
      <c r="Y219" s="320"/>
      <c r="Z219" s="320"/>
    </row>
    <row r="220" spans="1:26" ht="15" customHeight="1" x14ac:dyDescent="0.35">
      <c r="A220" s="83"/>
      <c r="B220" s="47"/>
      <c r="C220" s="1"/>
      <c r="D220" s="84"/>
      <c r="E220" s="86"/>
      <c r="F220" s="87"/>
      <c r="G220" s="86"/>
      <c r="H220" s="86"/>
      <c r="I220" s="91"/>
      <c r="J220" s="92"/>
      <c r="K220" s="32"/>
      <c r="L220" s="32"/>
      <c r="M220" s="32"/>
      <c r="N220" s="32"/>
      <c r="O220" s="32"/>
      <c r="P220" s="32"/>
      <c r="Q220" s="93">
        <f t="shared" ref="Q220:Q244" si="4">E220-I220-J220-K220-L220-M220-N220-O220-P220</f>
        <v>0</v>
      </c>
      <c r="R220" s="95">
        <f t="shared" si="1"/>
        <v>0</v>
      </c>
      <c r="S220" s="97">
        <f t="shared" si="2"/>
        <v>0</v>
      </c>
      <c r="T220" s="27"/>
      <c r="U220" s="27"/>
      <c r="V220" s="27"/>
      <c r="W220" s="27"/>
      <c r="X220" s="27"/>
      <c r="Y220" s="27"/>
      <c r="Z220" s="27"/>
    </row>
    <row r="221" spans="1:26" ht="15" customHeight="1" x14ac:dyDescent="0.35">
      <c r="A221" s="83"/>
      <c r="B221" s="312" t="s">
        <v>1280</v>
      </c>
      <c r="C221" s="105"/>
      <c r="D221" s="86"/>
      <c r="E221" s="86"/>
      <c r="F221" s="87"/>
      <c r="G221" s="86"/>
      <c r="H221" s="86"/>
      <c r="I221" s="91"/>
      <c r="J221" s="86"/>
      <c r="K221" s="32"/>
      <c r="L221" s="32"/>
      <c r="M221" s="32"/>
      <c r="N221" s="32"/>
      <c r="O221" s="32"/>
      <c r="P221" s="32"/>
      <c r="Q221" s="93">
        <f t="shared" si="4"/>
        <v>0</v>
      </c>
      <c r="R221" s="95">
        <f t="shared" si="1"/>
        <v>0</v>
      </c>
      <c r="S221" s="97">
        <f t="shared" si="2"/>
        <v>0</v>
      </c>
      <c r="T221" s="27"/>
      <c r="U221" s="27"/>
      <c r="V221" s="27"/>
      <c r="W221" s="27"/>
      <c r="X221" s="27"/>
      <c r="Y221" s="27"/>
      <c r="Z221" s="27"/>
    </row>
    <row r="222" spans="1:26" ht="15" customHeight="1" x14ac:dyDescent="0.35">
      <c r="A222" s="83" t="s">
        <v>1281</v>
      </c>
      <c r="B222" s="112" t="s">
        <v>1282</v>
      </c>
      <c r="C222" s="218" t="s">
        <v>179</v>
      </c>
      <c r="D222" s="84"/>
      <c r="E222" s="86"/>
      <c r="F222" s="87"/>
      <c r="G222" s="86"/>
      <c r="H222" s="86"/>
      <c r="I222" s="91"/>
      <c r="J222" s="106"/>
      <c r="K222" s="102"/>
      <c r="L222" s="102"/>
      <c r="M222" s="102"/>
      <c r="N222" s="102"/>
      <c r="O222" s="102"/>
      <c r="P222" s="102"/>
      <c r="Q222" s="93">
        <f t="shared" si="4"/>
        <v>0</v>
      </c>
      <c r="R222" s="95">
        <f t="shared" si="1"/>
        <v>0</v>
      </c>
      <c r="S222" s="97">
        <f t="shared" si="2"/>
        <v>0</v>
      </c>
      <c r="T222" s="27"/>
      <c r="U222" s="27"/>
      <c r="V222" s="27"/>
      <c r="W222" s="27"/>
      <c r="X222" s="27"/>
      <c r="Y222" s="27"/>
      <c r="Z222" s="27"/>
    </row>
    <row r="223" spans="1:26" ht="15" customHeight="1" x14ac:dyDescent="0.35">
      <c r="A223" s="83" t="s">
        <v>1284</v>
      </c>
      <c r="B223" s="98" t="s">
        <v>433</v>
      </c>
      <c r="C223" s="218" t="s">
        <v>1285</v>
      </c>
      <c r="D223" s="86"/>
      <c r="E223" s="86"/>
      <c r="F223" s="87"/>
      <c r="G223" s="86"/>
      <c r="H223" s="86"/>
      <c r="I223" s="91"/>
      <c r="J223" s="128"/>
      <c r="K223" s="102"/>
      <c r="L223" s="102"/>
      <c r="M223" s="102"/>
      <c r="N223" s="102"/>
      <c r="O223" s="102"/>
      <c r="P223" s="102"/>
      <c r="Q223" s="93">
        <f t="shared" si="4"/>
        <v>0</v>
      </c>
      <c r="R223" s="95">
        <f t="shared" si="1"/>
        <v>0</v>
      </c>
      <c r="S223" s="97">
        <f t="shared" si="2"/>
        <v>0</v>
      </c>
      <c r="T223" s="27"/>
      <c r="U223" s="27"/>
      <c r="V223" s="27"/>
      <c r="W223" s="27"/>
      <c r="X223" s="27"/>
      <c r="Y223" s="27"/>
      <c r="Z223" s="27"/>
    </row>
    <row r="224" spans="1:26" ht="15" customHeight="1" x14ac:dyDescent="0.35">
      <c r="A224" s="83" t="s">
        <v>1287</v>
      </c>
      <c r="B224" s="98" t="s">
        <v>791</v>
      </c>
      <c r="C224" s="218" t="s">
        <v>1288</v>
      </c>
      <c r="D224" s="86"/>
      <c r="E224" s="86"/>
      <c r="F224" s="87"/>
      <c r="G224" s="86"/>
      <c r="H224" s="86"/>
      <c r="I224" s="91"/>
      <c r="J224" s="108"/>
      <c r="K224" s="32"/>
      <c r="L224" s="32"/>
      <c r="M224" s="32"/>
      <c r="N224" s="32"/>
      <c r="O224" s="32"/>
      <c r="P224" s="32"/>
      <c r="Q224" s="93">
        <f t="shared" si="4"/>
        <v>0</v>
      </c>
      <c r="R224" s="95">
        <f t="shared" si="1"/>
        <v>0</v>
      </c>
      <c r="S224" s="97">
        <f t="shared" si="2"/>
        <v>0</v>
      </c>
      <c r="T224" s="27"/>
      <c r="U224" s="27"/>
      <c r="V224" s="27"/>
      <c r="W224" s="27"/>
      <c r="X224" s="27"/>
      <c r="Y224" s="27"/>
      <c r="Z224" s="27"/>
    </row>
    <row r="225" spans="1:26" ht="15" customHeight="1" x14ac:dyDescent="0.35">
      <c r="A225" s="83" t="s">
        <v>1289</v>
      </c>
      <c r="B225" s="47" t="s">
        <v>1290</v>
      </c>
      <c r="C225" s="218" t="s">
        <v>567</v>
      </c>
      <c r="D225" s="84"/>
      <c r="E225" s="86"/>
      <c r="F225" s="105"/>
      <c r="G225" s="86"/>
      <c r="H225" s="86"/>
      <c r="I225" s="91"/>
      <c r="J225" s="128"/>
      <c r="K225" s="102"/>
      <c r="L225" s="102"/>
      <c r="M225" s="102"/>
      <c r="N225" s="102"/>
      <c r="O225" s="102"/>
      <c r="P225" s="102"/>
      <c r="Q225" s="93">
        <f t="shared" si="4"/>
        <v>0</v>
      </c>
      <c r="R225" s="95">
        <f t="shared" si="1"/>
        <v>0</v>
      </c>
      <c r="S225" s="97">
        <f t="shared" si="2"/>
        <v>0</v>
      </c>
      <c r="T225" s="27"/>
      <c r="U225" s="27"/>
      <c r="V225" s="27"/>
      <c r="W225" s="27"/>
      <c r="X225" s="27"/>
      <c r="Y225" s="27"/>
      <c r="Z225" s="27"/>
    </row>
    <row r="226" spans="1:26" ht="15" customHeight="1" x14ac:dyDescent="0.35">
      <c r="A226" s="83" t="s">
        <v>1291</v>
      </c>
      <c r="B226" s="47" t="s">
        <v>55</v>
      </c>
      <c r="C226" s="218" t="s">
        <v>567</v>
      </c>
      <c r="D226" s="84"/>
      <c r="E226" s="86"/>
      <c r="F226" s="105"/>
      <c r="G226" s="86"/>
      <c r="H226" s="86"/>
      <c r="I226" s="91"/>
      <c r="J226" s="128"/>
      <c r="K226" s="102"/>
      <c r="L226" s="102"/>
      <c r="M226" s="102"/>
      <c r="N226" s="102"/>
      <c r="O226" s="102"/>
      <c r="P226" s="102"/>
      <c r="Q226" s="93">
        <f t="shared" si="4"/>
        <v>0</v>
      </c>
      <c r="R226" s="95">
        <f t="shared" si="1"/>
        <v>0</v>
      </c>
      <c r="S226" s="97">
        <f t="shared" si="2"/>
        <v>0</v>
      </c>
      <c r="T226" s="27"/>
      <c r="U226" s="27"/>
      <c r="V226" s="27"/>
      <c r="W226" s="27"/>
      <c r="X226" s="27"/>
      <c r="Y226" s="27"/>
      <c r="Z226" s="27"/>
    </row>
    <row r="227" spans="1:26" ht="15" customHeight="1" x14ac:dyDescent="0.35">
      <c r="A227" s="83" t="s">
        <v>1292</v>
      </c>
      <c r="B227" s="98" t="s">
        <v>1293</v>
      </c>
      <c r="C227" s="218" t="s">
        <v>1294</v>
      </c>
      <c r="D227" s="86"/>
      <c r="E227" s="86"/>
      <c r="F227" s="87"/>
      <c r="G227" s="86"/>
      <c r="H227" s="86"/>
      <c r="I227" s="91"/>
      <c r="J227" s="92"/>
      <c r="K227" s="32"/>
      <c r="L227" s="32"/>
      <c r="M227" s="32"/>
      <c r="N227" s="32"/>
      <c r="O227" s="32"/>
      <c r="P227" s="32"/>
      <c r="Q227" s="93">
        <f t="shared" si="4"/>
        <v>0</v>
      </c>
      <c r="R227" s="95">
        <f t="shared" si="1"/>
        <v>0</v>
      </c>
      <c r="S227" s="97">
        <f t="shared" si="2"/>
        <v>0</v>
      </c>
      <c r="T227" s="27"/>
      <c r="U227" s="27"/>
      <c r="V227" s="27"/>
      <c r="W227" s="27"/>
      <c r="X227" s="27"/>
      <c r="Y227" s="27"/>
      <c r="Z227" s="27"/>
    </row>
    <row r="228" spans="1:26" ht="15" customHeight="1" x14ac:dyDescent="0.35">
      <c r="A228" s="83" t="s">
        <v>1295</v>
      </c>
      <c r="B228" s="98" t="s">
        <v>1296</v>
      </c>
      <c r="C228" s="218" t="s">
        <v>1294</v>
      </c>
      <c r="D228" s="86"/>
      <c r="E228" s="86"/>
      <c r="F228" s="87"/>
      <c r="G228" s="86"/>
      <c r="H228" s="86"/>
      <c r="I228" s="91"/>
      <c r="J228" s="128"/>
      <c r="K228" s="102"/>
      <c r="L228" s="102"/>
      <c r="M228" s="102"/>
      <c r="N228" s="102"/>
      <c r="O228" s="102"/>
      <c r="P228" s="102"/>
      <c r="Q228" s="93">
        <f t="shared" si="4"/>
        <v>0</v>
      </c>
      <c r="R228" s="95">
        <f t="shared" si="1"/>
        <v>0</v>
      </c>
      <c r="S228" s="97">
        <f t="shared" si="2"/>
        <v>0</v>
      </c>
      <c r="T228" s="27"/>
      <c r="U228" s="27"/>
      <c r="V228" s="27"/>
      <c r="W228" s="27"/>
      <c r="X228" s="27"/>
      <c r="Y228" s="27"/>
      <c r="Z228" s="27"/>
    </row>
    <row r="229" spans="1:26" ht="15" customHeight="1" x14ac:dyDescent="0.35">
      <c r="A229" s="83" t="s">
        <v>1297</v>
      </c>
      <c r="B229" s="98" t="s">
        <v>278</v>
      </c>
      <c r="C229" s="218" t="s">
        <v>245</v>
      </c>
      <c r="D229" s="86"/>
      <c r="E229" s="86"/>
      <c r="F229" s="87"/>
      <c r="G229" s="86"/>
      <c r="H229" s="86"/>
      <c r="I229" s="91"/>
      <c r="J229" s="128"/>
      <c r="K229" s="102"/>
      <c r="L229" s="102"/>
      <c r="M229" s="102"/>
      <c r="N229" s="102"/>
      <c r="O229" s="102"/>
      <c r="P229" s="102"/>
      <c r="Q229" s="93">
        <f t="shared" si="4"/>
        <v>0</v>
      </c>
      <c r="R229" s="95">
        <f t="shared" si="1"/>
        <v>0</v>
      </c>
      <c r="S229" s="97">
        <f t="shared" si="2"/>
        <v>0</v>
      </c>
      <c r="T229" s="27"/>
      <c r="U229" s="27"/>
      <c r="V229" s="27"/>
      <c r="W229" s="27"/>
      <c r="X229" s="27"/>
      <c r="Y229" s="27"/>
      <c r="Z229" s="27"/>
    </row>
    <row r="230" spans="1:26" ht="15" customHeight="1" x14ac:dyDescent="0.35">
      <c r="A230" s="83" t="s">
        <v>1298</v>
      </c>
      <c r="B230" s="98" t="s">
        <v>249</v>
      </c>
      <c r="C230" s="218" t="s">
        <v>1299</v>
      </c>
      <c r="D230" s="86"/>
      <c r="E230" s="86"/>
      <c r="F230" s="87"/>
      <c r="G230" s="86"/>
      <c r="H230" s="86"/>
      <c r="I230" s="91"/>
      <c r="J230" s="128"/>
      <c r="K230" s="102"/>
      <c r="L230" s="102"/>
      <c r="M230" s="102"/>
      <c r="N230" s="102"/>
      <c r="O230" s="102"/>
      <c r="P230" s="102"/>
      <c r="Q230" s="93">
        <f t="shared" si="4"/>
        <v>0</v>
      </c>
      <c r="R230" s="95">
        <f t="shared" si="1"/>
        <v>0</v>
      </c>
      <c r="S230" s="97">
        <f t="shared" si="2"/>
        <v>0</v>
      </c>
      <c r="T230" s="27"/>
      <c r="U230" s="27"/>
      <c r="V230" s="27"/>
      <c r="W230" s="27"/>
      <c r="X230" s="27"/>
      <c r="Y230" s="27"/>
      <c r="Z230" s="27"/>
    </row>
    <row r="231" spans="1:26" ht="15" customHeight="1" x14ac:dyDescent="0.35">
      <c r="A231" s="83" t="s">
        <v>1300</v>
      </c>
      <c r="B231" s="98" t="s">
        <v>1301</v>
      </c>
      <c r="C231" s="218" t="s">
        <v>1302</v>
      </c>
      <c r="D231" s="86"/>
      <c r="E231" s="86"/>
      <c r="F231" s="87"/>
      <c r="G231" s="86"/>
      <c r="H231" s="86"/>
      <c r="I231" s="91"/>
      <c r="J231" s="128"/>
      <c r="K231" s="102"/>
      <c r="L231" s="102"/>
      <c r="M231" s="102"/>
      <c r="N231" s="102"/>
      <c r="O231" s="102"/>
      <c r="P231" s="102"/>
      <c r="Q231" s="93">
        <f t="shared" si="4"/>
        <v>0</v>
      </c>
      <c r="R231" s="95">
        <f t="shared" si="1"/>
        <v>0</v>
      </c>
      <c r="S231" s="97">
        <f t="shared" si="2"/>
        <v>0</v>
      </c>
      <c r="T231" s="27"/>
      <c r="U231" s="27"/>
      <c r="V231" s="27"/>
      <c r="W231" s="27"/>
      <c r="X231" s="27"/>
      <c r="Y231" s="27"/>
      <c r="Z231" s="27"/>
    </row>
    <row r="232" spans="1:26" ht="15" customHeight="1" x14ac:dyDescent="0.35">
      <c r="A232" s="83" t="s">
        <v>1303</v>
      </c>
      <c r="B232" s="98" t="s">
        <v>300</v>
      </c>
      <c r="C232" s="218"/>
      <c r="D232" s="86"/>
      <c r="E232" s="86"/>
      <c r="F232" s="87"/>
      <c r="G232" s="86"/>
      <c r="H232" s="86"/>
      <c r="I232" s="91"/>
      <c r="J232" s="128"/>
      <c r="K232" s="102"/>
      <c r="L232" s="102"/>
      <c r="M232" s="102"/>
      <c r="N232" s="102"/>
      <c r="O232" s="102"/>
      <c r="P232" s="102"/>
      <c r="Q232" s="93">
        <f t="shared" si="4"/>
        <v>0</v>
      </c>
      <c r="R232" s="95">
        <f t="shared" si="1"/>
        <v>0</v>
      </c>
      <c r="S232" s="97">
        <f t="shared" si="2"/>
        <v>0</v>
      </c>
      <c r="T232" s="27"/>
      <c r="U232" s="27"/>
      <c r="V232" s="27"/>
      <c r="W232" s="27"/>
      <c r="X232" s="27"/>
      <c r="Y232" s="27"/>
      <c r="Z232" s="27"/>
    </row>
    <row r="233" spans="1:26" ht="17.25" customHeight="1" x14ac:dyDescent="0.35">
      <c r="A233" s="83" t="s">
        <v>1305</v>
      </c>
      <c r="B233" s="47" t="s">
        <v>373</v>
      </c>
      <c r="C233" s="1" t="s">
        <v>1306</v>
      </c>
      <c r="D233" s="84"/>
      <c r="E233" s="86"/>
      <c r="F233" s="87"/>
      <c r="G233" s="86"/>
      <c r="H233" s="86"/>
      <c r="I233" s="91"/>
      <c r="J233" s="128"/>
      <c r="K233" s="102"/>
      <c r="L233" s="102"/>
      <c r="M233" s="102"/>
      <c r="N233" s="102"/>
      <c r="O233" s="102"/>
      <c r="P233" s="102"/>
      <c r="Q233" s="93">
        <f t="shared" si="4"/>
        <v>0</v>
      </c>
      <c r="R233" s="95">
        <f t="shared" si="1"/>
        <v>0</v>
      </c>
      <c r="S233" s="97">
        <f t="shared" si="2"/>
        <v>0</v>
      </c>
      <c r="T233" s="27"/>
      <c r="U233" s="27"/>
      <c r="V233" s="27"/>
      <c r="W233" s="27"/>
      <c r="X233" s="27"/>
      <c r="Y233" s="27"/>
      <c r="Z233" s="27"/>
    </row>
    <row r="234" spans="1:26" ht="15" customHeight="1" x14ac:dyDescent="0.35">
      <c r="A234" s="83" t="s">
        <v>1307</v>
      </c>
      <c r="B234" s="47" t="s">
        <v>734</v>
      </c>
      <c r="C234" s="1" t="s">
        <v>75</v>
      </c>
      <c r="D234" s="136"/>
      <c r="E234" s="86"/>
      <c r="F234" s="87"/>
      <c r="G234" s="86"/>
      <c r="H234" s="86"/>
      <c r="I234" s="91"/>
      <c r="J234" s="128"/>
      <c r="K234" s="102"/>
      <c r="L234" s="102"/>
      <c r="M234" s="102"/>
      <c r="N234" s="102"/>
      <c r="O234" s="102"/>
      <c r="P234" s="102"/>
      <c r="Q234" s="93">
        <f t="shared" si="4"/>
        <v>0</v>
      </c>
      <c r="R234" s="95">
        <f t="shared" si="1"/>
        <v>0</v>
      </c>
      <c r="S234" s="97">
        <f t="shared" si="2"/>
        <v>0</v>
      </c>
      <c r="T234" s="27"/>
      <c r="U234" s="27"/>
      <c r="V234" s="27"/>
      <c r="W234" s="27"/>
      <c r="X234" s="27"/>
      <c r="Y234" s="27"/>
      <c r="Z234" s="27"/>
    </row>
    <row r="235" spans="1:26" ht="15" customHeight="1" x14ac:dyDescent="0.35">
      <c r="A235" s="83" t="s">
        <v>1308</v>
      </c>
      <c r="B235" s="47" t="s">
        <v>1309</v>
      </c>
      <c r="C235" s="105" t="s">
        <v>140</v>
      </c>
      <c r="D235" s="86"/>
      <c r="E235" s="86"/>
      <c r="F235" s="87"/>
      <c r="G235" s="86"/>
      <c r="H235" s="86"/>
      <c r="I235" s="91"/>
      <c r="J235" s="86"/>
      <c r="K235" s="32"/>
      <c r="L235" s="32"/>
      <c r="M235" s="32"/>
      <c r="N235" s="32"/>
      <c r="O235" s="32"/>
      <c r="P235" s="32"/>
      <c r="Q235" s="93">
        <f t="shared" si="4"/>
        <v>0</v>
      </c>
      <c r="R235" s="95">
        <f t="shared" si="1"/>
        <v>0</v>
      </c>
      <c r="S235" s="97">
        <f t="shared" si="2"/>
        <v>0</v>
      </c>
      <c r="T235" s="27"/>
      <c r="U235" s="27"/>
      <c r="V235" s="27"/>
      <c r="W235" s="27"/>
      <c r="X235" s="27"/>
      <c r="Y235" s="27"/>
      <c r="Z235" s="27"/>
    </row>
    <row r="236" spans="1:26" ht="15" customHeight="1" x14ac:dyDescent="0.35">
      <c r="A236" s="83" t="s">
        <v>1310</v>
      </c>
      <c r="B236" s="47" t="s">
        <v>1311</v>
      </c>
      <c r="C236" s="218" t="s">
        <v>567</v>
      </c>
      <c r="D236" s="84"/>
      <c r="E236" s="86"/>
      <c r="F236" s="105"/>
      <c r="G236" s="86"/>
      <c r="H236" s="86"/>
      <c r="I236" s="91"/>
      <c r="J236" s="106"/>
      <c r="K236" s="102"/>
      <c r="L236" s="102"/>
      <c r="M236" s="102"/>
      <c r="N236" s="102"/>
      <c r="O236" s="102"/>
      <c r="P236" s="102"/>
      <c r="Q236" s="93">
        <f t="shared" si="4"/>
        <v>0</v>
      </c>
      <c r="R236" s="95">
        <f t="shared" si="1"/>
        <v>0</v>
      </c>
      <c r="S236" s="97">
        <f t="shared" si="2"/>
        <v>0</v>
      </c>
      <c r="T236" s="27"/>
      <c r="U236" s="27"/>
      <c r="V236" s="27"/>
      <c r="W236" s="27"/>
      <c r="X236" s="27"/>
      <c r="Y236" s="27"/>
      <c r="Z236" s="27"/>
    </row>
    <row r="237" spans="1:26" ht="15" customHeight="1" x14ac:dyDescent="0.35">
      <c r="A237" s="83" t="s">
        <v>1312</v>
      </c>
      <c r="B237" s="47" t="s">
        <v>694</v>
      </c>
      <c r="C237" s="105" t="s">
        <v>381</v>
      </c>
      <c r="D237" s="84"/>
      <c r="E237" s="86"/>
      <c r="F237" s="87"/>
      <c r="G237" s="86"/>
      <c r="H237" s="86"/>
      <c r="I237" s="91"/>
      <c r="J237" s="86"/>
      <c r="K237" s="32"/>
      <c r="L237" s="32"/>
      <c r="M237" s="32"/>
      <c r="N237" s="32"/>
      <c r="O237" s="32"/>
      <c r="P237" s="32"/>
      <c r="Q237" s="93">
        <f t="shared" si="4"/>
        <v>0</v>
      </c>
      <c r="R237" s="95">
        <f t="shared" si="1"/>
        <v>0</v>
      </c>
      <c r="S237" s="97">
        <f t="shared" si="2"/>
        <v>0</v>
      </c>
      <c r="T237" s="27"/>
      <c r="U237" s="27"/>
      <c r="V237" s="27"/>
      <c r="W237" s="27"/>
      <c r="X237" s="27"/>
      <c r="Y237" s="27"/>
      <c r="Z237" s="27"/>
    </row>
    <row r="238" spans="1:26" ht="15" customHeight="1" x14ac:dyDescent="0.35">
      <c r="A238" s="83" t="s">
        <v>1313</v>
      </c>
      <c r="B238" s="47" t="s">
        <v>1314</v>
      </c>
      <c r="C238" s="1" t="s">
        <v>75</v>
      </c>
      <c r="D238" s="84"/>
      <c r="E238" s="86"/>
      <c r="F238" s="105"/>
      <c r="G238" s="86"/>
      <c r="H238" s="86"/>
      <c r="I238" s="91"/>
      <c r="J238" s="92"/>
      <c r="K238" s="32"/>
      <c r="L238" s="32"/>
      <c r="M238" s="32"/>
      <c r="N238" s="32"/>
      <c r="O238" s="32"/>
      <c r="P238" s="32"/>
      <c r="Q238" s="93">
        <f t="shared" si="4"/>
        <v>0</v>
      </c>
      <c r="R238" s="95">
        <f t="shared" si="1"/>
        <v>0</v>
      </c>
      <c r="S238" s="97">
        <f t="shared" si="2"/>
        <v>0</v>
      </c>
      <c r="T238" s="27"/>
      <c r="U238" s="27"/>
      <c r="V238" s="27"/>
      <c r="W238" s="27"/>
      <c r="X238" s="27"/>
      <c r="Y238" s="27"/>
      <c r="Z238" s="27"/>
    </row>
    <row r="239" spans="1:26" ht="15" customHeight="1" x14ac:dyDescent="0.35">
      <c r="A239" s="83" t="s">
        <v>1315</v>
      </c>
      <c r="B239" s="98" t="s">
        <v>435</v>
      </c>
      <c r="C239" s="218" t="s">
        <v>1285</v>
      </c>
      <c r="D239" s="86"/>
      <c r="E239" s="86"/>
      <c r="F239" s="87"/>
      <c r="G239" s="86"/>
      <c r="H239" s="86"/>
      <c r="I239" s="91"/>
      <c r="J239" s="108"/>
      <c r="K239" s="32"/>
      <c r="L239" s="32"/>
      <c r="M239" s="32"/>
      <c r="N239" s="32"/>
      <c r="O239" s="32"/>
      <c r="P239" s="32"/>
      <c r="Q239" s="93">
        <f t="shared" si="4"/>
        <v>0</v>
      </c>
      <c r="R239" s="95">
        <f t="shared" si="1"/>
        <v>0</v>
      </c>
      <c r="S239" s="97">
        <f t="shared" si="2"/>
        <v>0</v>
      </c>
      <c r="T239" s="27"/>
      <c r="U239" s="27"/>
      <c r="V239" s="27"/>
      <c r="W239" s="27"/>
      <c r="X239" s="27"/>
      <c r="Y239" s="27"/>
      <c r="Z239" s="27"/>
    </row>
    <row r="240" spans="1:26" ht="15" customHeight="1" x14ac:dyDescent="0.35">
      <c r="A240" s="83" t="s">
        <v>1316</v>
      </c>
      <c r="B240" s="47" t="s">
        <v>82</v>
      </c>
      <c r="C240" s="105" t="s">
        <v>381</v>
      </c>
      <c r="D240" s="84"/>
      <c r="E240" s="86"/>
      <c r="F240" s="87"/>
      <c r="G240" s="86"/>
      <c r="H240" s="86"/>
      <c r="I240" s="91"/>
      <c r="J240" s="86"/>
      <c r="K240" s="32"/>
      <c r="L240" s="32"/>
      <c r="M240" s="32"/>
      <c r="N240" s="32"/>
      <c r="O240" s="32"/>
      <c r="P240" s="32"/>
      <c r="Q240" s="93">
        <f t="shared" si="4"/>
        <v>0</v>
      </c>
      <c r="R240" s="95">
        <f t="shared" si="1"/>
        <v>0</v>
      </c>
      <c r="S240" s="97">
        <f t="shared" si="2"/>
        <v>0</v>
      </c>
      <c r="T240" s="27"/>
      <c r="U240" s="27"/>
      <c r="V240" s="27"/>
      <c r="W240" s="27"/>
      <c r="X240" s="27"/>
      <c r="Y240" s="27"/>
      <c r="Z240" s="27"/>
    </row>
    <row r="241" spans="1:26" ht="15" customHeight="1" x14ac:dyDescent="0.35">
      <c r="A241" s="83" t="s">
        <v>1317</v>
      </c>
      <c r="B241" s="47" t="s">
        <v>1318</v>
      </c>
      <c r="C241" s="1" t="s">
        <v>1319</v>
      </c>
      <c r="D241" s="84"/>
      <c r="E241" s="86"/>
      <c r="F241" s="87"/>
      <c r="G241" s="86"/>
      <c r="H241" s="86"/>
      <c r="I241" s="91"/>
      <c r="J241" s="108"/>
      <c r="K241" s="32"/>
      <c r="L241" s="32"/>
      <c r="M241" s="32"/>
      <c r="N241" s="32"/>
      <c r="O241" s="32"/>
      <c r="P241" s="32"/>
      <c r="Q241" s="93">
        <f t="shared" si="4"/>
        <v>0</v>
      </c>
      <c r="R241" s="95">
        <f t="shared" si="1"/>
        <v>0</v>
      </c>
      <c r="S241" s="97">
        <f t="shared" si="2"/>
        <v>0</v>
      </c>
      <c r="T241" s="27"/>
      <c r="U241" s="27"/>
      <c r="V241" s="27"/>
      <c r="W241" s="27"/>
      <c r="X241" s="27"/>
      <c r="Y241" s="27"/>
      <c r="Z241" s="27"/>
    </row>
    <row r="242" spans="1:26" ht="15.75" customHeight="1" x14ac:dyDescent="0.35">
      <c r="A242" s="83" t="s">
        <v>1321</v>
      </c>
      <c r="B242" s="47" t="s">
        <v>318</v>
      </c>
      <c r="C242" s="218" t="s">
        <v>567</v>
      </c>
      <c r="D242" s="84"/>
      <c r="E242" s="86"/>
      <c r="F242" s="105"/>
      <c r="G242" s="86"/>
      <c r="H242" s="86"/>
      <c r="I242" s="91"/>
      <c r="J242" s="128"/>
      <c r="K242" s="102"/>
      <c r="L242" s="102"/>
      <c r="M242" s="102"/>
      <c r="N242" s="102"/>
      <c r="O242" s="102"/>
      <c r="P242" s="102"/>
      <c r="Q242" s="93">
        <f t="shared" si="4"/>
        <v>0</v>
      </c>
      <c r="R242" s="95">
        <f t="shared" si="1"/>
        <v>0</v>
      </c>
      <c r="S242" s="97">
        <f t="shared" si="2"/>
        <v>0</v>
      </c>
      <c r="T242" s="27"/>
      <c r="U242" s="27"/>
      <c r="V242" s="27"/>
      <c r="W242" s="27"/>
      <c r="X242" s="27"/>
      <c r="Y242" s="27"/>
      <c r="Z242" s="27"/>
    </row>
    <row r="243" spans="1:26" ht="15" customHeight="1" x14ac:dyDescent="0.35">
      <c r="A243" s="83" t="s">
        <v>1322</v>
      </c>
      <c r="B243" s="98" t="s">
        <v>1323</v>
      </c>
      <c r="C243" s="218" t="s">
        <v>357</v>
      </c>
      <c r="D243" s="86"/>
      <c r="E243" s="86"/>
      <c r="F243" s="87"/>
      <c r="G243" s="86"/>
      <c r="H243" s="86"/>
      <c r="I243" s="91"/>
      <c r="J243" s="128"/>
      <c r="K243" s="102"/>
      <c r="L243" s="102"/>
      <c r="M243" s="102"/>
      <c r="N243" s="102"/>
      <c r="O243" s="102"/>
      <c r="P243" s="102"/>
      <c r="Q243" s="93">
        <f t="shared" si="4"/>
        <v>0</v>
      </c>
      <c r="R243" s="95">
        <f t="shared" si="1"/>
        <v>0</v>
      </c>
      <c r="S243" s="97">
        <f t="shared" si="2"/>
        <v>0</v>
      </c>
      <c r="T243" s="27"/>
      <c r="U243" s="27"/>
      <c r="V243" s="27"/>
      <c r="W243" s="27"/>
      <c r="X243" s="27"/>
      <c r="Y243" s="27"/>
      <c r="Z243" s="27"/>
    </row>
    <row r="244" spans="1:26" ht="15" customHeight="1" x14ac:dyDescent="0.35">
      <c r="A244" s="83" t="s">
        <v>1324</v>
      </c>
      <c r="B244" s="47" t="s">
        <v>398</v>
      </c>
      <c r="C244" s="218" t="s">
        <v>1294</v>
      </c>
      <c r="D244" s="84"/>
      <c r="E244" s="86"/>
      <c r="F244" s="87"/>
      <c r="G244" s="86"/>
      <c r="H244" s="86"/>
      <c r="I244" s="91"/>
      <c r="J244" s="335"/>
      <c r="K244" s="102"/>
      <c r="L244" s="102"/>
      <c r="M244" s="102"/>
      <c r="N244" s="102"/>
      <c r="O244" s="102"/>
      <c r="P244" s="102"/>
      <c r="Q244" s="93">
        <f t="shared" si="4"/>
        <v>0</v>
      </c>
      <c r="R244" s="95">
        <f t="shared" si="1"/>
        <v>0</v>
      </c>
      <c r="S244" s="97">
        <f t="shared" si="2"/>
        <v>0</v>
      </c>
      <c r="T244" s="27"/>
      <c r="U244" s="27"/>
      <c r="V244" s="27"/>
      <c r="W244" s="27"/>
      <c r="X244" s="27"/>
      <c r="Y244" s="27"/>
      <c r="Z244" s="27"/>
    </row>
    <row r="245" spans="1:26" ht="15" customHeight="1" x14ac:dyDescent="0.35">
      <c r="A245" s="60"/>
      <c r="B245" s="312" t="s">
        <v>620</v>
      </c>
      <c r="C245" s="336"/>
      <c r="D245" s="313"/>
      <c r="E245" s="313"/>
      <c r="F245" s="313"/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>
        <f t="shared" ref="D245:Q245" si="5">SUM(Q222:Q244)</f>
        <v>0</v>
      </c>
      <c r="R245" s="316"/>
      <c r="S245" s="317"/>
      <c r="T245" s="320"/>
      <c r="U245" s="320"/>
      <c r="V245" s="320"/>
      <c r="W245" s="320"/>
      <c r="X245" s="320"/>
      <c r="Y245" s="320"/>
      <c r="Z245" s="320"/>
    </row>
    <row r="246" spans="1:26" ht="15" customHeight="1" x14ac:dyDescent="0.35">
      <c r="A246" s="83"/>
      <c r="B246" s="98"/>
      <c r="C246" s="218"/>
      <c r="D246" s="86"/>
      <c r="E246" s="86"/>
      <c r="F246" s="87"/>
      <c r="G246" s="86"/>
      <c r="H246" s="86"/>
      <c r="I246" s="91"/>
      <c r="J246" s="108"/>
      <c r="K246" s="32"/>
      <c r="L246" s="32"/>
      <c r="M246" s="32"/>
      <c r="N246" s="32"/>
      <c r="O246" s="32"/>
      <c r="P246" s="32"/>
      <c r="Q246" s="93"/>
      <c r="R246" s="95"/>
      <c r="S246" s="97"/>
      <c r="T246" s="27"/>
      <c r="U246" s="27"/>
      <c r="V246" s="27"/>
      <c r="W246" s="27"/>
      <c r="X246" s="27"/>
      <c r="Y246" s="27"/>
      <c r="Z246" s="27"/>
    </row>
    <row r="247" spans="1:26" ht="15" customHeight="1" x14ac:dyDescent="0.35">
      <c r="A247" s="83"/>
      <c r="B247" s="312" t="s">
        <v>1325</v>
      </c>
      <c r="C247" s="29"/>
      <c r="D247" s="1"/>
      <c r="E247" s="337"/>
      <c r="F247" s="86"/>
      <c r="G247" s="86"/>
      <c r="H247" s="108"/>
      <c r="I247" s="108"/>
      <c r="J247" s="108"/>
      <c r="K247" s="32"/>
      <c r="L247" s="32"/>
      <c r="M247" s="32"/>
      <c r="N247" s="32"/>
      <c r="O247" s="32"/>
      <c r="P247" s="32"/>
      <c r="Q247" s="93"/>
      <c r="R247" s="95"/>
      <c r="S247" s="97"/>
      <c r="T247" s="27"/>
      <c r="U247" s="27"/>
      <c r="V247" s="27"/>
      <c r="W247" s="27"/>
      <c r="X247" s="27"/>
      <c r="Y247" s="27"/>
      <c r="Z247" s="27"/>
    </row>
    <row r="248" spans="1:26" ht="15" customHeight="1" x14ac:dyDescent="0.35">
      <c r="A248" s="83"/>
      <c r="B248" s="47" t="s">
        <v>1327</v>
      </c>
      <c r="C248" s="1" t="s">
        <v>1328</v>
      </c>
      <c r="D248" s="105"/>
      <c r="E248" s="86"/>
      <c r="F248" s="86"/>
      <c r="G248" s="105"/>
      <c r="H248" s="108"/>
      <c r="I248" s="108"/>
      <c r="J248" s="108"/>
      <c r="K248" s="32"/>
      <c r="L248" s="32"/>
      <c r="M248" s="32"/>
      <c r="N248" s="32"/>
      <c r="O248" s="32"/>
      <c r="P248" s="32"/>
      <c r="Q248" s="93">
        <f t="shared" ref="Q248:Q262" si="6">E248-F248-J248-K248-L248-M248-N248-O248-P248</f>
        <v>0</v>
      </c>
      <c r="R248" s="95">
        <f t="shared" ref="R248:R263" si="7">J248+K248+L248+M248+N248+O248+P248+Q248</f>
        <v>0</v>
      </c>
      <c r="S248" s="97">
        <f t="shared" ref="S248:S263" si="8">D248-R248</f>
        <v>0</v>
      </c>
      <c r="T248" s="27"/>
      <c r="U248" s="27"/>
      <c r="V248" s="27"/>
      <c r="W248" s="27"/>
      <c r="X248" s="27"/>
      <c r="Y248" s="27"/>
      <c r="Z248" s="27"/>
    </row>
    <row r="249" spans="1:26" ht="15" customHeight="1" x14ac:dyDescent="0.35">
      <c r="A249" s="83" t="s">
        <v>1329</v>
      </c>
      <c r="B249" s="47" t="s">
        <v>887</v>
      </c>
      <c r="C249" s="1" t="s">
        <v>1330</v>
      </c>
      <c r="D249" s="105"/>
      <c r="E249" s="86"/>
      <c r="F249" s="86"/>
      <c r="G249" s="105"/>
      <c r="H249" s="92"/>
      <c r="I249" s="86"/>
      <c r="J249" s="108"/>
      <c r="K249" s="32"/>
      <c r="L249" s="32"/>
      <c r="M249" s="32"/>
      <c r="N249" s="32"/>
      <c r="O249" s="32"/>
      <c r="P249" s="32"/>
      <c r="Q249" s="93">
        <f t="shared" si="6"/>
        <v>0</v>
      </c>
      <c r="R249" s="95">
        <f t="shared" si="7"/>
        <v>0</v>
      </c>
      <c r="S249" s="97">
        <f t="shared" si="8"/>
        <v>0</v>
      </c>
      <c r="T249" s="27"/>
      <c r="U249" s="27"/>
      <c r="V249" s="27"/>
      <c r="W249" s="27"/>
      <c r="X249" s="27"/>
      <c r="Y249" s="27"/>
      <c r="Z249" s="27"/>
    </row>
    <row r="250" spans="1:26" ht="15" customHeight="1" x14ac:dyDescent="0.35">
      <c r="A250" s="83" t="s">
        <v>1331</v>
      </c>
      <c r="B250" s="132" t="s">
        <v>874</v>
      </c>
      <c r="C250" s="105" t="s">
        <v>1332</v>
      </c>
      <c r="D250" s="105"/>
      <c r="E250" s="105"/>
      <c r="F250" s="86"/>
      <c r="G250" s="105"/>
      <c r="H250" s="92"/>
      <c r="I250" s="86"/>
      <c r="J250" s="108"/>
      <c r="K250" s="32"/>
      <c r="L250" s="32"/>
      <c r="M250" s="32"/>
      <c r="N250" s="32"/>
      <c r="O250" s="32"/>
      <c r="P250" s="32"/>
      <c r="Q250" s="93">
        <f t="shared" si="6"/>
        <v>0</v>
      </c>
      <c r="R250" s="95">
        <f t="shared" si="7"/>
        <v>0</v>
      </c>
      <c r="S250" s="97">
        <f t="shared" si="8"/>
        <v>0</v>
      </c>
      <c r="T250" s="27"/>
      <c r="U250" s="27"/>
      <c r="V250" s="27"/>
      <c r="W250" s="27"/>
      <c r="X250" s="27"/>
      <c r="Y250" s="27"/>
      <c r="Z250" s="27"/>
    </row>
    <row r="251" spans="1:26" ht="14.25" customHeight="1" x14ac:dyDescent="0.35">
      <c r="A251" s="83" t="s">
        <v>1333</v>
      </c>
      <c r="B251" s="112" t="s">
        <v>1080</v>
      </c>
      <c r="C251" s="33" t="s">
        <v>1334</v>
      </c>
      <c r="D251" s="86"/>
      <c r="E251" s="86"/>
      <c r="F251" s="86"/>
      <c r="G251" s="86"/>
      <c r="H251" s="86"/>
      <c r="I251" s="86"/>
      <c r="J251" s="86"/>
      <c r="K251" s="32"/>
      <c r="L251" s="32"/>
      <c r="M251" s="32"/>
      <c r="N251" s="32"/>
      <c r="O251" s="32"/>
      <c r="P251" s="32"/>
      <c r="Q251" s="93">
        <f t="shared" si="6"/>
        <v>0</v>
      </c>
      <c r="R251" s="95">
        <f t="shared" si="7"/>
        <v>0</v>
      </c>
      <c r="S251" s="97">
        <f t="shared" si="8"/>
        <v>0</v>
      </c>
      <c r="T251" s="27"/>
      <c r="U251" s="27"/>
      <c r="V251" s="27"/>
      <c r="W251" s="27"/>
      <c r="X251" s="27"/>
      <c r="Y251" s="27"/>
      <c r="Z251" s="27"/>
    </row>
    <row r="252" spans="1:26" ht="14.25" customHeight="1" x14ac:dyDescent="0.35">
      <c r="A252" s="83" t="s">
        <v>1335</v>
      </c>
      <c r="B252" s="112" t="s">
        <v>1337</v>
      </c>
      <c r="C252" s="1" t="s">
        <v>1338</v>
      </c>
      <c r="D252" s="105"/>
      <c r="E252" s="105"/>
      <c r="F252" s="86"/>
      <c r="G252" s="105"/>
      <c r="H252" s="105"/>
      <c r="I252" s="1"/>
      <c r="J252" s="105"/>
      <c r="K252" s="32"/>
      <c r="L252" s="32"/>
      <c r="M252" s="32"/>
      <c r="N252" s="32"/>
      <c r="O252" s="32"/>
      <c r="P252" s="32"/>
      <c r="Q252" s="93">
        <f t="shared" si="6"/>
        <v>0</v>
      </c>
      <c r="R252" s="95">
        <f t="shared" si="7"/>
        <v>0</v>
      </c>
      <c r="S252" s="97">
        <f t="shared" si="8"/>
        <v>0</v>
      </c>
      <c r="T252" s="27"/>
      <c r="U252" s="27"/>
      <c r="V252" s="27"/>
      <c r="W252" s="27"/>
      <c r="X252" s="27"/>
      <c r="Y252" s="27"/>
      <c r="Z252" s="27"/>
    </row>
    <row r="253" spans="1:26" ht="14.25" customHeight="1" x14ac:dyDescent="0.35">
      <c r="A253" s="83" t="s">
        <v>1339</v>
      </c>
      <c r="B253" s="47" t="s">
        <v>897</v>
      </c>
      <c r="C253" s="1" t="s">
        <v>1330</v>
      </c>
      <c r="D253" s="105"/>
      <c r="E253" s="105"/>
      <c r="F253" s="86"/>
      <c r="G253" s="105"/>
      <c r="H253" s="105"/>
      <c r="I253" s="105"/>
      <c r="J253" s="105"/>
      <c r="K253" s="32"/>
      <c r="L253" s="32"/>
      <c r="M253" s="32"/>
      <c r="N253" s="32"/>
      <c r="O253" s="32"/>
      <c r="P253" s="32"/>
      <c r="Q253" s="93">
        <f t="shared" si="6"/>
        <v>0</v>
      </c>
      <c r="R253" s="95">
        <f t="shared" si="7"/>
        <v>0</v>
      </c>
      <c r="S253" s="97">
        <f t="shared" si="8"/>
        <v>0</v>
      </c>
      <c r="T253" s="27"/>
      <c r="U253" s="27"/>
      <c r="V253" s="27"/>
      <c r="W253" s="27"/>
      <c r="X253" s="27"/>
      <c r="Y253" s="27"/>
      <c r="Z253" s="27"/>
    </row>
    <row r="254" spans="1:26" ht="14.25" customHeight="1" x14ac:dyDescent="0.35">
      <c r="A254" s="83" t="s">
        <v>1340</v>
      </c>
      <c r="B254" s="112" t="s">
        <v>1341</v>
      </c>
      <c r="C254" s="33" t="s">
        <v>294</v>
      </c>
      <c r="D254" s="86"/>
      <c r="E254" s="86"/>
      <c r="F254" s="86"/>
      <c r="G254" s="86"/>
      <c r="H254" s="86"/>
      <c r="I254" s="86"/>
      <c r="J254" s="86"/>
      <c r="K254" s="32"/>
      <c r="L254" s="32"/>
      <c r="M254" s="32"/>
      <c r="N254" s="32"/>
      <c r="O254" s="32"/>
      <c r="P254" s="32"/>
      <c r="Q254" s="93">
        <f t="shared" si="6"/>
        <v>0</v>
      </c>
      <c r="R254" s="95">
        <f t="shared" si="7"/>
        <v>0</v>
      </c>
      <c r="S254" s="97">
        <f t="shared" si="8"/>
        <v>0</v>
      </c>
      <c r="T254" s="27"/>
      <c r="U254" s="27"/>
      <c r="V254" s="27"/>
      <c r="W254" s="27"/>
      <c r="X254" s="27"/>
      <c r="Y254" s="27"/>
      <c r="Z254" s="27"/>
    </row>
    <row r="255" spans="1:26" ht="14.25" customHeight="1" x14ac:dyDescent="0.35">
      <c r="A255" s="83" t="s">
        <v>1342</v>
      </c>
      <c r="B255" s="47" t="s">
        <v>900</v>
      </c>
      <c r="C255" s="1" t="s">
        <v>567</v>
      </c>
      <c r="D255" s="105"/>
      <c r="E255" s="86"/>
      <c r="F255" s="86"/>
      <c r="G255" s="86"/>
      <c r="H255" s="86"/>
      <c r="I255" s="86"/>
      <c r="J255" s="86"/>
      <c r="K255" s="32"/>
      <c r="L255" s="32"/>
      <c r="M255" s="32"/>
      <c r="N255" s="32"/>
      <c r="O255" s="32"/>
      <c r="P255" s="32"/>
      <c r="Q255" s="93">
        <f t="shared" si="6"/>
        <v>0</v>
      </c>
      <c r="R255" s="95">
        <f t="shared" si="7"/>
        <v>0</v>
      </c>
      <c r="S255" s="97">
        <f t="shared" si="8"/>
        <v>0</v>
      </c>
      <c r="T255" s="27"/>
      <c r="U255" s="27"/>
      <c r="V255" s="27"/>
      <c r="W255" s="27"/>
      <c r="X255" s="27"/>
      <c r="Y255" s="27"/>
      <c r="Z255" s="27"/>
    </row>
    <row r="256" spans="1:26" ht="14.25" customHeight="1" x14ac:dyDescent="0.35">
      <c r="A256" s="83" t="s">
        <v>1343</v>
      </c>
      <c r="B256" s="47" t="s">
        <v>1344</v>
      </c>
      <c r="C256" s="1" t="s">
        <v>1328</v>
      </c>
      <c r="D256" s="105"/>
      <c r="E256" s="86"/>
      <c r="F256" s="86"/>
      <c r="G256" s="86"/>
      <c r="H256" s="86"/>
      <c r="I256" s="86"/>
      <c r="J256" s="86"/>
      <c r="K256" s="32"/>
      <c r="L256" s="32"/>
      <c r="M256" s="32"/>
      <c r="N256" s="32"/>
      <c r="O256" s="32"/>
      <c r="P256" s="32"/>
      <c r="Q256" s="93">
        <f t="shared" si="6"/>
        <v>0</v>
      </c>
      <c r="R256" s="95">
        <f t="shared" si="7"/>
        <v>0</v>
      </c>
      <c r="S256" s="97">
        <f t="shared" si="8"/>
        <v>0</v>
      </c>
      <c r="T256" s="27"/>
      <c r="U256" s="27"/>
      <c r="V256" s="27"/>
      <c r="W256" s="27"/>
      <c r="X256" s="27"/>
      <c r="Y256" s="27"/>
      <c r="Z256" s="27"/>
    </row>
    <row r="257" spans="1:26" ht="14.25" customHeight="1" x14ac:dyDescent="0.35">
      <c r="A257" s="83" t="s">
        <v>1345</v>
      </c>
      <c r="B257" s="112" t="s">
        <v>1346</v>
      </c>
      <c r="C257" s="33" t="s">
        <v>1347</v>
      </c>
      <c r="D257" s="105"/>
      <c r="E257" s="86"/>
      <c r="F257" s="86"/>
      <c r="G257" s="86"/>
      <c r="H257" s="86"/>
      <c r="I257" s="86"/>
      <c r="J257" s="86"/>
      <c r="K257" s="32"/>
      <c r="L257" s="32"/>
      <c r="M257" s="32"/>
      <c r="N257" s="32"/>
      <c r="O257" s="32"/>
      <c r="P257" s="32"/>
      <c r="Q257" s="93">
        <f t="shared" si="6"/>
        <v>0</v>
      </c>
      <c r="R257" s="95">
        <f t="shared" si="7"/>
        <v>0</v>
      </c>
      <c r="S257" s="97">
        <f t="shared" si="8"/>
        <v>0</v>
      </c>
      <c r="T257" s="27"/>
      <c r="U257" s="27"/>
      <c r="V257" s="27"/>
      <c r="W257" s="27"/>
      <c r="X257" s="27"/>
      <c r="Y257" s="27"/>
      <c r="Z257" s="27"/>
    </row>
    <row r="258" spans="1:26" ht="15" customHeight="1" x14ac:dyDescent="0.35">
      <c r="A258" s="83" t="s">
        <v>1348</v>
      </c>
      <c r="B258" s="47" t="s">
        <v>906</v>
      </c>
      <c r="C258" s="33" t="s">
        <v>1349</v>
      </c>
      <c r="D258" s="105"/>
      <c r="E258" s="86"/>
      <c r="F258" s="86"/>
      <c r="G258" s="105"/>
      <c r="H258" s="92"/>
      <c r="I258" s="86"/>
      <c r="J258" s="108"/>
      <c r="K258" s="32"/>
      <c r="L258" s="32"/>
      <c r="M258" s="32"/>
      <c r="N258" s="32"/>
      <c r="O258" s="32"/>
      <c r="P258" s="32"/>
      <c r="Q258" s="93">
        <f t="shared" si="6"/>
        <v>0</v>
      </c>
      <c r="R258" s="95">
        <f t="shared" si="7"/>
        <v>0</v>
      </c>
      <c r="S258" s="97">
        <f t="shared" si="8"/>
        <v>0</v>
      </c>
      <c r="T258" s="27"/>
      <c r="U258" s="27"/>
      <c r="V258" s="27"/>
      <c r="W258" s="27"/>
      <c r="X258" s="27"/>
      <c r="Y258" s="27"/>
      <c r="Z258" s="27"/>
    </row>
    <row r="259" spans="1:26" ht="14.25" customHeight="1" x14ac:dyDescent="0.35">
      <c r="A259" s="83" t="s">
        <v>1350</v>
      </c>
      <c r="B259" s="112" t="s">
        <v>1351</v>
      </c>
      <c r="C259" s="33" t="s">
        <v>1352</v>
      </c>
      <c r="D259" s="105"/>
      <c r="E259" s="86"/>
      <c r="F259" s="86"/>
      <c r="G259" s="1"/>
      <c r="H259" s="1"/>
      <c r="I259" s="1"/>
      <c r="J259" s="6"/>
      <c r="K259" s="32"/>
      <c r="L259" s="32"/>
      <c r="M259" s="32"/>
      <c r="N259" s="32"/>
      <c r="O259" s="32"/>
      <c r="P259" s="32"/>
      <c r="Q259" s="93">
        <f t="shared" si="6"/>
        <v>0</v>
      </c>
      <c r="R259" s="95">
        <f t="shared" si="7"/>
        <v>0</v>
      </c>
      <c r="S259" s="97">
        <f t="shared" si="8"/>
        <v>0</v>
      </c>
      <c r="T259" s="27"/>
      <c r="U259" s="27"/>
      <c r="V259" s="27"/>
      <c r="W259" s="27"/>
      <c r="X259" s="27"/>
      <c r="Y259" s="27"/>
      <c r="Z259" s="27"/>
    </row>
    <row r="260" spans="1:26" ht="15" customHeight="1" x14ac:dyDescent="0.35">
      <c r="A260" s="83" t="s">
        <v>1353</v>
      </c>
      <c r="B260" s="47" t="s">
        <v>847</v>
      </c>
      <c r="C260" s="1" t="s">
        <v>1330</v>
      </c>
      <c r="D260" s="105"/>
      <c r="E260" s="86"/>
      <c r="F260" s="86"/>
      <c r="G260" s="86"/>
      <c r="H260" s="86"/>
      <c r="I260" s="91"/>
      <c r="J260" s="86"/>
      <c r="K260" s="32"/>
      <c r="L260" s="32"/>
      <c r="M260" s="32"/>
      <c r="N260" s="32"/>
      <c r="O260" s="32"/>
      <c r="P260" s="32"/>
      <c r="Q260" s="93">
        <f t="shared" si="6"/>
        <v>0</v>
      </c>
      <c r="R260" s="95">
        <f t="shared" si="7"/>
        <v>0</v>
      </c>
      <c r="S260" s="97">
        <f t="shared" si="8"/>
        <v>0</v>
      </c>
      <c r="T260" s="27"/>
      <c r="U260" s="27"/>
      <c r="V260" s="27"/>
      <c r="W260" s="27"/>
      <c r="X260" s="27"/>
      <c r="Y260" s="27"/>
      <c r="Z260" s="27"/>
    </row>
    <row r="261" spans="1:26" ht="15" customHeight="1" x14ac:dyDescent="0.35">
      <c r="A261" s="83" t="s">
        <v>1356</v>
      </c>
      <c r="B261" s="47" t="s">
        <v>816</v>
      </c>
      <c r="C261" s="33" t="s">
        <v>294</v>
      </c>
      <c r="D261" s="105"/>
      <c r="E261" s="86"/>
      <c r="F261" s="86"/>
      <c r="G261" s="86"/>
      <c r="H261" s="86"/>
      <c r="I261" s="91"/>
      <c r="J261" s="86"/>
      <c r="K261" s="32"/>
      <c r="L261" s="32"/>
      <c r="M261" s="32"/>
      <c r="N261" s="32"/>
      <c r="O261" s="32"/>
      <c r="P261" s="32"/>
      <c r="Q261" s="93">
        <f t="shared" si="6"/>
        <v>0</v>
      </c>
      <c r="R261" s="95">
        <f t="shared" si="7"/>
        <v>0</v>
      </c>
      <c r="S261" s="97">
        <f t="shared" si="8"/>
        <v>0</v>
      </c>
      <c r="T261" s="27"/>
      <c r="U261" s="27"/>
      <c r="V261" s="27"/>
      <c r="W261" s="27"/>
      <c r="X261" s="27"/>
      <c r="Y261" s="27"/>
      <c r="Z261" s="27"/>
    </row>
    <row r="262" spans="1:26" ht="15" customHeight="1" x14ac:dyDescent="0.35">
      <c r="A262" s="83" t="s">
        <v>1358</v>
      </c>
      <c r="B262" s="112" t="s">
        <v>1359</v>
      </c>
      <c r="C262" s="33" t="s">
        <v>567</v>
      </c>
      <c r="D262" s="86"/>
      <c r="E262" s="86"/>
      <c r="F262" s="86"/>
      <c r="G262" s="86"/>
      <c r="H262" s="86"/>
      <c r="I262" s="91"/>
      <c r="J262" s="86"/>
      <c r="K262" s="32"/>
      <c r="L262" s="32"/>
      <c r="M262" s="32"/>
      <c r="N262" s="32"/>
      <c r="O262" s="32"/>
      <c r="P262" s="32"/>
      <c r="Q262" s="93">
        <f t="shared" si="6"/>
        <v>0</v>
      </c>
      <c r="R262" s="95">
        <f t="shared" si="7"/>
        <v>0</v>
      </c>
      <c r="S262" s="97">
        <f t="shared" si="8"/>
        <v>0</v>
      </c>
      <c r="T262" s="27"/>
      <c r="U262" s="27"/>
      <c r="V262" s="27"/>
      <c r="W262" s="27"/>
      <c r="X262" s="27"/>
      <c r="Y262" s="27"/>
      <c r="Z262" s="27"/>
    </row>
    <row r="263" spans="1:26" ht="15" customHeight="1" x14ac:dyDescent="0.35">
      <c r="A263" s="60"/>
      <c r="B263" s="356" t="s">
        <v>620</v>
      </c>
      <c r="C263" s="17"/>
      <c r="D263" s="358"/>
      <c r="E263" s="358"/>
      <c r="F263" s="358"/>
      <c r="G263" s="358"/>
      <c r="H263" s="358"/>
      <c r="I263" s="358"/>
      <c r="J263" s="358"/>
      <c r="K263" s="358"/>
      <c r="L263" s="358"/>
      <c r="M263" s="358"/>
      <c r="N263" s="358"/>
      <c r="O263" s="358"/>
      <c r="P263" s="358"/>
      <c r="Q263" s="358">
        <f t="shared" ref="D263:Q263" si="9">SUM(Q248:Q262)</f>
        <v>0</v>
      </c>
      <c r="R263" s="316">
        <f t="shared" si="7"/>
        <v>0</v>
      </c>
      <c r="S263" s="317">
        <f t="shared" si="8"/>
        <v>0</v>
      </c>
      <c r="T263" s="320"/>
      <c r="U263" s="320"/>
      <c r="V263" s="320"/>
      <c r="W263" s="320"/>
      <c r="X263" s="320"/>
      <c r="Y263" s="320"/>
      <c r="Z263" s="320"/>
    </row>
    <row r="264" spans="1:26" ht="15" customHeight="1" x14ac:dyDescent="0.35">
      <c r="A264" s="60"/>
      <c r="B264" s="356"/>
      <c r="C264" s="17"/>
      <c r="D264" s="358"/>
      <c r="E264" s="358"/>
      <c r="F264" s="358"/>
      <c r="G264" s="358"/>
      <c r="H264" s="358"/>
      <c r="I264" s="358"/>
      <c r="J264" s="358"/>
      <c r="K264" s="358"/>
      <c r="L264" s="358"/>
      <c r="M264" s="358"/>
      <c r="N264" s="358"/>
      <c r="O264" s="358"/>
      <c r="P264" s="358"/>
      <c r="Q264" s="363"/>
      <c r="R264" s="316"/>
      <c r="S264" s="317"/>
      <c r="T264" s="320"/>
      <c r="U264" s="320"/>
      <c r="V264" s="320"/>
      <c r="W264" s="320"/>
      <c r="X264" s="320"/>
      <c r="Y264" s="320"/>
      <c r="Z264" s="320"/>
    </row>
    <row r="265" spans="1:26" ht="15" customHeight="1" x14ac:dyDescent="0.35">
      <c r="A265" s="83"/>
      <c r="B265" s="312" t="s">
        <v>1280</v>
      </c>
      <c r="C265" s="33"/>
      <c r="D265" s="105"/>
      <c r="E265" s="86"/>
      <c r="F265" s="86"/>
      <c r="G265" s="86"/>
      <c r="H265" s="86"/>
      <c r="I265" s="86"/>
      <c r="J265" s="86"/>
      <c r="K265" s="32"/>
      <c r="L265" s="32"/>
      <c r="M265" s="32"/>
      <c r="N265" s="32"/>
      <c r="O265" s="32"/>
      <c r="P265" s="32"/>
      <c r="Q265" s="93">
        <f>E265-I265-J265-K265-L265-M265-N265-O265-P265</f>
        <v>0</v>
      </c>
      <c r="R265" s="95">
        <f t="shared" ref="R265:R274" si="10">J265+K265+L265+M265+N265+O265+P265+Q265</f>
        <v>0</v>
      </c>
      <c r="S265" s="97">
        <f t="shared" ref="S265:S274" si="11">D265-R265</f>
        <v>0</v>
      </c>
      <c r="T265" s="27"/>
      <c r="U265" s="27"/>
      <c r="V265" s="27"/>
      <c r="W265" s="27"/>
      <c r="X265" s="27"/>
      <c r="Y265" s="27"/>
      <c r="Z265" s="27"/>
    </row>
    <row r="266" spans="1:26" ht="14.25" customHeight="1" x14ac:dyDescent="0.35">
      <c r="A266" s="83" t="s">
        <v>1368</v>
      </c>
      <c r="B266" s="47" t="s">
        <v>1369</v>
      </c>
      <c r="C266" s="1" t="s">
        <v>1370</v>
      </c>
      <c r="D266" s="136"/>
      <c r="E266" s="86"/>
      <c r="F266" s="86"/>
      <c r="G266" s="86"/>
      <c r="H266" s="86"/>
      <c r="I266" s="86"/>
      <c r="J266" s="86"/>
      <c r="K266" s="32"/>
      <c r="L266" s="32"/>
      <c r="M266" s="32"/>
      <c r="N266" s="32"/>
      <c r="O266" s="32"/>
      <c r="P266" s="32"/>
      <c r="Q266" s="93">
        <f t="shared" ref="Q266:Q274" si="12">E266-F266-J266-K266-L266-M266-N266-O266-P266</f>
        <v>0</v>
      </c>
      <c r="R266" s="95">
        <f t="shared" si="10"/>
        <v>0</v>
      </c>
      <c r="S266" s="97">
        <f t="shared" si="11"/>
        <v>0</v>
      </c>
      <c r="T266" s="27"/>
      <c r="U266" s="27"/>
      <c r="V266" s="27"/>
      <c r="W266" s="27"/>
      <c r="X266" s="27"/>
      <c r="Y266" s="27"/>
      <c r="Z266" s="27"/>
    </row>
    <row r="267" spans="1:26" ht="14.25" customHeight="1" x14ac:dyDescent="0.35">
      <c r="A267" s="83" t="s">
        <v>1373</v>
      </c>
      <c r="B267" s="47" t="s">
        <v>1374</v>
      </c>
      <c r="C267" s="1" t="s">
        <v>1370</v>
      </c>
      <c r="D267" s="136"/>
      <c r="E267" s="86"/>
      <c r="F267" s="86"/>
      <c r="G267" s="86"/>
      <c r="H267" s="86"/>
      <c r="I267" s="86"/>
      <c r="J267" s="86"/>
      <c r="K267" s="32"/>
      <c r="L267" s="32"/>
      <c r="M267" s="32"/>
      <c r="N267" s="32"/>
      <c r="O267" s="32"/>
      <c r="P267" s="32"/>
      <c r="Q267" s="93">
        <f t="shared" si="12"/>
        <v>0</v>
      </c>
      <c r="R267" s="95">
        <f t="shared" si="10"/>
        <v>0</v>
      </c>
      <c r="S267" s="97">
        <f t="shared" si="11"/>
        <v>0</v>
      </c>
      <c r="T267" s="27"/>
      <c r="U267" s="27"/>
      <c r="V267" s="27"/>
      <c r="W267" s="27"/>
      <c r="X267" s="27"/>
      <c r="Y267" s="27"/>
      <c r="Z267" s="27"/>
    </row>
    <row r="268" spans="1:26" ht="19.5" customHeight="1" x14ac:dyDescent="0.35">
      <c r="A268" s="83"/>
      <c r="B268" s="47" t="s">
        <v>530</v>
      </c>
      <c r="C268" s="218"/>
      <c r="D268" s="136"/>
      <c r="E268" s="86"/>
      <c r="F268" s="86"/>
      <c r="G268" s="86"/>
      <c r="H268" s="86"/>
      <c r="I268" s="86"/>
      <c r="J268" s="86"/>
      <c r="K268" s="32"/>
      <c r="L268" s="32"/>
      <c r="M268" s="32"/>
      <c r="N268" s="32"/>
      <c r="O268" s="32"/>
      <c r="P268" s="32"/>
      <c r="Q268" s="93">
        <f t="shared" si="12"/>
        <v>0</v>
      </c>
      <c r="R268" s="95">
        <f t="shared" si="10"/>
        <v>0</v>
      </c>
      <c r="S268" s="97">
        <f t="shared" si="11"/>
        <v>0</v>
      </c>
      <c r="T268" s="27"/>
      <c r="U268" s="27"/>
      <c r="V268" s="27"/>
      <c r="W268" s="27"/>
      <c r="X268" s="27"/>
      <c r="Y268" s="27"/>
      <c r="Z268" s="27"/>
    </row>
    <row r="269" spans="1:26" ht="18.75" customHeight="1" x14ac:dyDescent="0.35">
      <c r="A269" s="83" t="s">
        <v>1378</v>
      </c>
      <c r="B269" s="47" t="s">
        <v>880</v>
      </c>
      <c r="C269" s="218" t="s">
        <v>567</v>
      </c>
      <c r="D269" s="136"/>
      <c r="E269" s="86"/>
      <c r="F269" s="86"/>
      <c r="G269" s="86"/>
      <c r="H269" s="86"/>
      <c r="I269" s="86"/>
      <c r="J269" s="86"/>
      <c r="K269" s="32"/>
      <c r="L269" s="32"/>
      <c r="M269" s="32"/>
      <c r="N269" s="32"/>
      <c r="O269" s="32"/>
      <c r="P269" s="32"/>
      <c r="Q269" s="93">
        <f t="shared" si="12"/>
        <v>0</v>
      </c>
      <c r="R269" s="95">
        <f t="shared" si="10"/>
        <v>0</v>
      </c>
      <c r="S269" s="97">
        <f t="shared" si="11"/>
        <v>0</v>
      </c>
      <c r="T269" s="27"/>
      <c r="U269" s="27"/>
      <c r="V269" s="27"/>
      <c r="W269" s="27"/>
      <c r="X269" s="27"/>
      <c r="Y269" s="27"/>
      <c r="Z269" s="27"/>
    </row>
    <row r="270" spans="1:26" ht="18" customHeight="1" x14ac:dyDescent="0.35">
      <c r="A270" s="83" t="s">
        <v>1382</v>
      </c>
      <c r="B270" s="47" t="s">
        <v>1383</v>
      </c>
      <c r="C270" s="218" t="s">
        <v>1384</v>
      </c>
      <c r="D270" s="136"/>
      <c r="E270" s="86"/>
      <c r="F270" s="86"/>
      <c r="G270" s="105"/>
      <c r="H270" s="92"/>
      <c r="I270" s="86"/>
      <c r="J270" s="92"/>
      <c r="K270" s="32"/>
      <c r="L270" s="32"/>
      <c r="M270" s="32"/>
      <c r="N270" s="32"/>
      <c r="O270" s="32"/>
      <c r="P270" s="32"/>
      <c r="Q270" s="93">
        <f t="shared" si="12"/>
        <v>0</v>
      </c>
      <c r="R270" s="95">
        <f t="shared" si="10"/>
        <v>0</v>
      </c>
      <c r="S270" s="97">
        <f t="shared" si="11"/>
        <v>0</v>
      </c>
      <c r="T270" s="27"/>
      <c r="U270" s="27"/>
      <c r="V270" s="27"/>
      <c r="W270" s="27"/>
      <c r="X270" s="27"/>
      <c r="Y270" s="27"/>
      <c r="Z270" s="27"/>
    </row>
    <row r="271" spans="1:26" ht="15" customHeight="1" x14ac:dyDescent="0.35">
      <c r="A271" s="83" t="s">
        <v>1390</v>
      </c>
      <c r="B271" s="47" t="s">
        <v>863</v>
      </c>
      <c r="C271" s="218" t="s">
        <v>1392</v>
      </c>
      <c r="D271" s="136"/>
      <c r="E271" s="86"/>
      <c r="F271" s="86"/>
      <c r="G271" s="105"/>
      <c r="H271" s="92"/>
      <c r="I271" s="86"/>
      <c r="J271" s="108"/>
      <c r="K271" s="32"/>
      <c r="L271" s="32"/>
      <c r="M271" s="32"/>
      <c r="N271" s="32"/>
      <c r="O271" s="32"/>
      <c r="P271" s="32"/>
      <c r="Q271" s="93">
        <f t="shared" si="12"/>
        <v>0</v>
      </c>
      <c r="R271" s="95">
        <f t="shared" si="10"/>
        <v>0</v>
      </c>
      <c r="S271" s="97">
        <f t="shared" si="11"/>
        <v>0</v>
      </c>
      <c r="T271" s="27"/>
      <c r="U271" s="27"/>
      <c r="V271" s="27"/>
      <c r="W271" s="27"/>
      <c r="X271" s="27"/>
      <c r="Y271" s="27"/>
      <c r="Z271" s="27"/>
    </row>
    <row r="272" spans="1:26" ht="16.5" customHeight="1" x14ac:dyDescent="0.35">
      <c r="A272" s="83" t="s">
        <v>1398</v>
      </c>
      <c r="B272" s="47" t="s">
        <v>1399</v>
      </c>
      <c r="C272" s="370" t="s">
        <v>567</v>
      </c>
      <c r="D272" s="136"/>
      <c r="E272" s="86"/>
      <c r="F272" s="86"/>
      <c r="G272" s="105"/>
      <c r="H272" s="92"/>
      <c r="I272" s="86"/>
      <c r="J272" s="92"/>
      <c r="K272" s="32"/>
      <c r="L272" s="32"/>
      <c r="M272" s="32"/>
      <c r="N272" s="32"/>
      <c r="O272" s="32"/>
      <c r="P272" s="32"/>
      <c r="Q272" s="93">
        <f t="shared" si="12"/>
        <v>0</v>
      </c>
      <c r="R272" s="95">
        <f t="shared" si="10"/>
        <v>0</v>
      </c>
      <c r="S272" s="97">
        <f t="shared" si="11"/>
        <v>0</v>
      </c>
      <c r="T272" s="27"/>
      <c r="U272" s="27"/>
      <c r="V272" s="27"/>
      <c r="W272" s="27"/>
      <c r="X272" s="27"/>
      <c r="Y272" s="27"/>
      <c r="Z272" s="27"/>
    </row>
    <row r="273" spans="1:26" ht="15" customHeight="1" x14ac:dyDescent="0.35">
      <c r="A273" s="83" t="s">
        <v>1403</v>
      </c>
      <c r="B273" s="47" t="s">
        <v>911</v>
      </c>
      <c r="C273" s="218" t="s">
        <v>1392</v>
      </c>
      <c r="D273" s="136"/>
      <c r="E273" s="86"/>
      <c r="F273" s="86"/>
      <c r="G273" s="105"/>
      <c r="H273" s="92"/>
      <c r="I273" s="86"/>
      <c r="J273" s="108"/>
      <c r="K273" s="32"/>
      <c r="L273" s="32"/>
      <c r="M273" s="32"/>
      <c r="N273" s="32"/>
      <c r="O273" s="32"/>
      <c r="P273" s="32"/>
      <c r="Q273" s="93">
        <f t="shared" si="12"/>
        <v>0</v>
      </c>
      <c r="R273" s="95">
        <f t="shared" si="10"/>
        <v>0</v>
      </c>
      <c r="S273" s="97">
        <f t="shared" si="11"/>
        <v>0</v>
      </c>
      <c r="T273" s="27"/>
      <c r="U273" s="27"/>
      <c r="V273" s="27"/>
      <c r="W273" s="27"/>
      <c r="X273" s="27"/>
      <c r="Y273" s="27"/>
      <c r="Z273" s="27"/>
    </row>
    <row r="274" spans="1:26" ht="15" customHeight="1" x14ac:dyDescent="0.35">
      <c r="A274" s="83" t="s">
        <v>1408</v>
      </c>
      <c r="B274" s="371" t="s">
        <v>1410</v>
      </c>
      <c r="C274" s="370" t="s">
        <v>567</v>
      </c>
      <c r="D274" s="136"/>
      <c r="E274" s="86"/>
      <c r="F274" s="86"/>
      <c r="G274" s="105"/>
      <c r="H274" s="92"/>
      <c r="I274" s="86"/>
      <c r="J274" s="108"/>
      <c r="K274" s="32"/>
      <c r="L274" s="32"/>
      <c r="M274" s="32"/>
      <c r="N274" s="32"/>
      <c r="O274" s="32"/>
      <c r="P274" s="32"/>
      <c r="Q274" s="93">
        <f t="shared" si="12"/>
        <v>0</v>
      </c>
      <c r="R274" s="95">
        <f t="shared" si="10"/>
        <v>0</v>
      </c>
      <c r="S274" s="97">
        <f t="shared" si="11"/>
        <v>0</v>
      </c>
      <c r="T274" s="27"/>
      <c r="U274" s="27"/>
      <c r="V274" s="27"/>
      <c r="W274" s="27"/>
      <c r="X274" s="27"/>
      <c r="Y274" s="27"/>
      <c r="Z274" s="27"/>
    </row>
    <row r="275" spans="1:26" ht="15" customHeight="1" x14ac:dyDescent="0.35">
      <c r="A275" s="60"/>
      <c r="B275" s="372" t="s">
        <v>620</v>
      </c>
      <c r="C275" s="373"/>
      <c r="D275" s="374"/>
      <c r="E275" s="374"/>
      <c r="F275" s="374"/>
      <c r="G275" s="374"/>
      <c r="H275" s="374"/>
      <c r="I275" s="374"/>
      <c r="J275" s="374"/>
      <c r="K275" s="374"/>
      <c r="L275" s="374"/>
      <c r="M275" s="374"/>
      <c r="N275" s="374"/>
      <c r="O275" s="374"/>
      <c r="P275" s="374"/>
      <c r="Q275" s="374">
        <f t="shared" ref="D275:Q275" si="13">SUM(Q266:Q274)</f>
        <v>0</v>
      </c>
      <c r="R275" s="316"/>
      <c r="S275" s="317"/>
      <c r="T275" s="320"/>
      <c r="U275" s="320"/>
      <c r="V275" s="320"/>
      <c r="W275" s="320"/>
      <c r="X275" s="320"/>
      <c r="Y275" s="320"/>
      <c r="Z275" s="320"/>
    </row>
    <row r="276" spans="1:26" ht="15" customHeight="1" x14ac:dyDescent="0.35">
      <c r="A276" s="377"/>
      <c r="B276" s="378" t="s">
        <v>752</v>
      </c>
      <c r="C276" s="379"/>
      <c r="D276" s="380"/>
      <c r="E276" s="380"/>
      <c r="F276" s="380"/>
      <c r="G276" s="380"/>
      <c r="H276" s="380"/>
      <c r="I276" s="380"/>
      <c r="J276" s="380"/>
      <c r="K276" s="380"/>
      <c r="L276" s="380"/>
      <c r="M276" s="380"/>
      <c r="N276" s="380"/>
      <c r="O276" s="380"/>
      <c r="P276" s="380"/>
      <c r="Q276" s="380">
        <f t="shared" ref="D276:S276" si="14">Q275+Q263+Q245+Q219</f>
        <v>0</v>
      </c>
      <c r="R276" s="380">
        <f t="shared" si="14"/>
        <v>0</v>
      </c>
      <c r="S276" s="380">
        <f t="shared" si="14"/>
        <v>0</v>
      </c>
      <c r="T276" s="320"/>
      <c r="U276" s="320"/>
      <c r="V276" s="320"/>
      <c r="W276" s="320"/>
      <c r="X276" s="320"/>
      <c r="Y276" s="320"/>
      <c r="Z276" s="320"/>
    </row>
    <row r="277" spans="1:26" ht="15.75" customHeight="1" x14ac:dyDescent="0.35">
      <c r="A277" s="83"/>
      <c r="B277" s="312"/>
      <c r="C277" s="29"/>
      <c r="D277" s="286"/>
      <c r="E277" s="286"/>
      <c r="F277" s="1"/>
      <c r="G277" s="1"/>
      <c r="H277" s="1"/>
      <c r="I277" s="1"/>
      <c r="J277" s="105"/>
      <c r="K277" s="32"/>
      <c r="L277" s="32"/>
      <c r="M277" s="32"/>
      <c r="N277" s="32"/>
      <c r="O277" s="32"/>
      <c r="P277" s="32"/>
      <c r="Q277" s="93"/>
      <c r="R277" s="95"/>
      <c r="S277" s="97">
        <f t="shared" ref="S277:S280" si="15">D277-R277</f>
        <v>0</v>
      </c>
      <c r="T277" s="27"/>
      <c r="U277" s="27"/>
      <c r="V277" s="27"/>
      <c r="W277" s="27"/>
      <c r="X277" s="27"/>
      <c r="Y277" s="27"/>
      <c r="Z277" s="27"/>
    </row>
    <row r="278" spans="1:26" ht="15" customHeight="1" x14ac:dyDescent="0.35">
      <c r="A278" s="69"/>
      <c r="B278" s="381" t="s">
        <v>755</v>
      </c>
      <c r="C278" s="382"/>
      <c r="D278" s="382"/>
      <c r="E278" s="386"/>
      <c r="F278" s="382"/>
      <c r="G278" s="382"/>
      <c r="H278" s="382"/>
      <c r="I278" s="382"/>
      <c r="J278" s="382"/>
      <c r="K278" s="388"/>
      <c r="L278" s="388"/>
      <c r="M278" s="388"/>
      <c r="N278" s="388"/>
      <c r="O278" s="388"/>
      <c r="P278" s="388"/>
      <c r="Q278" s="390"/>
      <c r="R278" s="95"/>
      <c r="S278" s="97">
        <f t="shared" si="15"/>
        <v>0</v>
      </c>
      <c r="T278" s="27"/>
      <c r="U278" s="27"/>
      <c r="V278" s="27"/>
      <c r="W278" s="27"/>
      <c r="X278" s="27"/>
      <c r="Y278" s="27"/>
      <c r="Z278" s="27"/>
    </row>
    <row r="279" spans="1:26" ht="15" customHeight="1" x14ac:dyDescent="0.35">
      <c r="A279" s="83"/>
      <c r="B279" s="47" t="s">
        <v>1366</v>
      </c>
      <c r="C279" s="105"/>
      <c r="D279" s="105"/>
      <c r="E279" s="86"/>
      <c r="F279" s="87"/>
      <c r="G279" s="86"/>
      <c r="H279" s="86"/>
      <c r="I279" s="84"/>
      <c r="J279" s="391"/>
      <c r="K279" s="119"/>
      <c r="L279" s="119"/>
      <c r="M279" s="119"/>
      <c r="N279" s="119"/>
      <c r="O279" s="119"/>
      <c r="P279" s="119"/>
      <c r="Q279" s="93">
        <f t="shared" ref="Q279:Q312" si="16">E279-I279-J279-K279-L279-M279-N279-O279-P279</f>
        <v>0</v>
      </c>
      <c r="R279" s="95">
        <f t="shared" ref="R279:R312" si="17">J279+K279+L279+M279+N279+O279+P279+Q279</f>
        <v>0</v>
      </c>
      <c r="S279" s="97">
        <f t="shared" si="15"/>
        <v>0</v>
      </c>
      <c r="T279" s="27"/>
      <c r="U279" s="27"/>
      <c r="V279" s="27"/>
      <c r="W279" s="27"/>
      <c r="X279" s="27"/>
      <c r="Y279" s="27"/>
      <c r="Z279" s="27"/>
    </row>
    <row r="280" spans="1:26" ht="15" customHeight="1" x14ac:dyDescent="0.35">
      <c r="A280" s="83"/>
      <c r="B280" s="47" t="s">
        <v>1426</v>
      </c>
      <c r="C280" s="105"/>
      <c r="D280" s="105"/>
      <c r="E280" s="86"/>
      <c r="F280" s="87"/>
      <c r="G280" s="86"/>
      <c r="H280" s="86"/>
      <c r="I280" s="84"/>
      <c r="J280" s="142"/>
      <c r="K280" s="32"/>
      <c r="L280" s="32"/>
      <c r="M280" s="32"/>
      <c r="N280" s="32"/>
      <c r="O280" s="32"/>
      <c r="P280" s="32"/>
      <c r="Q280" s="93">
        <f t="shared" si="16"/>
        <v>0</v>
      </c>
      <c r="R280" s="95">
        <f t="shared" si="17"/>
        <v>0</v>
      </c>
      <c r="S280" s="97">
        <f t="shared" si="15"/>
        <v>0</v>
      </c>
      <c r="T280" s="27"/>
      <c r="U280" s="27"/>
      <c r="V280" s="27"/>
      <c r="W280" s="27"/>
      <c r="X280" s="27"/>
      <c r="Y280" s="27"/>
      <c r="Z280" s="27"/>
    </row>
    <row r="281" spans="1:26" ht="15" customHeight="1" x14ac:dyDescent="0.35">
      <c r="A281" s="83"/>
      <c r="B281" s="47" t="s">
        <v>1430</v>
      </c>
      <c r="C281" s="105"/>
      <c r="D281" s="105"/>
      <c r="E281" s="86"/>
      <c r="F281" s="87"/>
      <c r="G281" s="86"/>
      <c r="H281" s="86"/>
      <c r="I281" s="84"/>
      <c r="J281" s="142"/>
      <c r="K281" s="32"/>
      <c r="L281" s="32"/>
      <c r="M281" s="32"/>
      <c r="N281" s="32"/>
      <c r="O281" s="32"/>
      <c r="P281" s="32"/>
      <c r="Q281" s="93">
        <f t="shared" si="16"/>
        <v>0</v>
      </c>
      <c r="R281" s="95">
        <f t="shared" si="17"/>
        <v>0</v>
      </c>
      <c r="S281" s="97"/>
      <c r="T281" s="27"/>
      <c r="U281" s="27"/>
      <c r="V281" s="27"/>
      <c r="W281" s="27"/>
      <c r="X281" s="27"/>
      <c r="Y281" s="27"/>
      <c r="Z281" s="27"/>
    </row>
    <row r="282" spans="1:26" ht="15" customHeight="1" x14ac:dyDescent="0.35">
      <c r="A282" s="83"/>
      <c r="B282" s="47" t="s">
        <v>827</v>
      </c>
      <c r="C282" s="105"/>
      <c r="D282" s="105"/>
      <c r="E282" s="86"/>
      <c r="F282" s="87"/>
      <c r="G282" s="86"/>
      <c r="H282" s="86"/>
      <c r="I282" s="84"/>
      <c r="J282" s="142"/>
      <c r="K282" s="32"/>
      <c r="L282" s="32"/>
      <c r="M282" s="32"/>
      <c r="N282" s="32"/>
      <c r="O282" s="32"/>
      <c r="P282" s="32"/>
      <c r="Q282" s="93">
        <f t="shared" si="16"/>
        <v>0</v>
      </c>
      <c r="R282" s="95">
        <f t="shared" si="17"/>
        <v>0</v>
      </c>
      <c r="S282" s="97">
        <f t="shared" ref="S282:S285" si="18">D282-R282</f>
        <v>0</v>
      </c>
      <c r="T282" s="27"/>
      <c r="U282" s="27"/>
      <c r="V282" s="27"/>
      <c r="W282" s="27"/>
      <c r="X282" s="27"/>
      <c r="Y282" s="27"/>
      <c r="Z282" s="27"/>
    </row>
    <row r="283" spans="1:26" ht="15" customHeight="1" x14ac:dyDescent="0.35">
      <c r="A283" s="83"/>
      <c r="B283" s="47" t="s">
        <v>1375</v>
      </c>
      <c r="C283" s="105"/>
      <c r="D283" s="105"/>
      <c r="E283" s="86"/>
      <c r="F283" s="87"/>
      <c r="G283" s="86"/>
      <c r="H283" s="86"/>
      <c r="I283" s="84"/>
      <c r="J283" s="391"/>
      <c r="K283" s="119"/>
      <c r="L283" s="119"/>
      <c r="M283" s="119"/>
      <c r="N283" s="119"/>
      <c r="O283" s="119"/>
      <c r="P283" s="119"/>
      <c r="Q283" s="93">
        <f t="shared" si="16"/>
        <v>0</v>
      </c>
      <c r="R283" s="95">
        <f t="shared" si="17"/>
        <v>0</v>
      </c>
      <c r="S283" s="97">
        <f t="shared" si="18"/>
        <v>0</v>
      </c>
      <c r="T283" s="27"/>
      <c r="U283" s="27"/>
      <c r="V283" s="27"/>
      <c r="W283" s="27"/>
      <c r="X283" s="27"/>
      <c r="Y283" s="27"/>
      <c r="Z283" s="27"/>
    </row>
    <row r="284" spans="1:26" ht="15" customHeight="1" x14ac:dyDescent="0.35">
      <c r="A284" s="83"/>
      <c r="B284" s="47" t="s">
        <v>849</v>
      </c>
      <c r="C284" s="105"/>
      <c r="D284" s="86"/>
      <c r="E284" s="86"/>
      <c r="F284" s="87"/>
      <c r="G284" s="86"/>
      <c r="H284" s="86"/>
      <c r="I284" s="84"/>
      <c r="J284" s="86"/>
      <c r="K284" s="32"/>
      <c r="L284" s="32"/>
      <c r="M284" s="32"/>
      <c r="N284" s="32"/>
      <c r="O284" s="32"/>
      <c r="P284" s="32"/>
      <c r="Q284" s="93">
        <f t="shared" si="16"/>
        <v>0</v>
      </c>
      <c r="R284" s="95">
        <f t="shared" si="17"/>
        <v>0</v>
      </c>
      <c r="S284" s="97">
        <f t="shared" si="18"/>
        <v>0</v>
      </c>
      <c r="T284" s="27"/>
      <c r="U284" s="27"/>
      <c r="V284" s="27"/>
      <c r="W284" s="27"/>
      <c r="X284" s="27"/>
      <c r="Y284" s="27"/>
      <c r="Z284" s="27"/>
    </row>
    <row r="285" spans="1:26" ht="15" customHeight="1" x14ac:dyDescent="0.35">
      <c r="A285" s="83"/>
      <c r="B285" s="47" t="s">
        <v>809</v>
      </c>
      <c r="C285" s="105" t="s">
        <v>1367</v>
      </c>
      <c r="D285" s="105"/>
      <c r="E285" s="86"/>
      <c r="F285" s="87"/>
      <c r="G285" s="86"/>
      <c r="H285" s="397"/>
      <c r="I285" s="84"/>
      <c r="J285" s="86"/>
      <c r="K285" s="32"/>
      <c r="L285" s="32"/>
      <c r="M285" s="32"/>
      <c r="N285" s="32"/>
      <c r="O285" s="32"/>
      <c r="P285" s="32"/>
      <c r="Q285" s="93">
        <f t="shared" si="16"/>
        <v>0</v>
      </c>
      <c r="R285" s="95">
        <f t="shared" si="17"/>
        <v>0</v>
      </c>
      <c r="S285" s="97">
        <f t="shared" si="18"/>
        <v>0</v>
      </c>
      <c r="T285" s="27"/>
      <c r="U285" s="27"/>
      <c r="V285" s="27"/>
      <c r="W285" s="27"/>
      <c r="X285" s="27"/>
      <c r="Y285" s="27"/>
      <c r="Z285" s="27"/>
    </row>
    <row r="286" spans="1:26" ht="15" customHeight="1" x14ac:dyDescent="0.35">
      <c r="A286" s="83"/>
      <c r="B286" s="47" t="s">
        <v>1263</v>
      </c>
      <c r="C286" s="105"/>
      <c r="D286" s="105"/>
      <c r="E286" s="86"/>
      <c r="F286" s="87"/>
      <c r="G286" s="86"/>
      <c r="H286" s="397"/>
      <c r="I286" s="84"/>
      <c r="J286" s="86"/>
      <c r="K286" s="32"/>
      <c r="L286" s="32"/>
      <c r="M286" s="32"/>
      <c r="N286" s="32"/>
      <c r="O286" s="32"/>
      <c r="P286" s="32"/>
      <c r="Q286" s="93">
        <f t="shared" si="16"/>
        <v>0</v>
      </c>
      <c r="R286" s="95">
        <f t="shared" si="17"/>
        <v>0</v>
      </c>
      <c r="S286" s="97"/>
      <c r="T286" s="27"/>
      <c r="U286" s="27"/>
      <c r="V286" s="27"/>
      <c r="W286" s="27"/>
      <c r="X286" s="27"/>
      <c r="Y286" s="27"/>
      <c r="Z286" s="27"/>
    </row>
    <row r="287" spans="1:26" ht="14.25" customHeight="1" x14ac:dyDescent="0.35">
      <c r="A287" s="83"/>
      <c r="B287" s="47" t="s">
        <v>1385</v>
      </c>
      <c r="C287" s="105"/>
      <c r="D287" s="86"/>
      <c r="E287" s="86"/>
      <c r="F287" s="87"/>
      <c r="G287" s="86"/>
      <c r="H287" s="86"/>
      <c r="I287" s="84"/>
      <c r="J287" s="398"/>
      <c r="K287" s="119"/>
      <c r="L287" s="119"/>
      <c r="M287" s="119"/>
      <c r="N287" s="119"/>
      <c r="O287" s="119"/>
      <c r="P287" s="119"/>
      <c r="Q287" s="93">
        <f t="shared" si="16"/>
        <v>0</v>
      </c>
      <c r="R287" s="95">
        <f t="shared" si="17"/>
        <v>0</v>
      </c>
      <c r="S287" s="97">
        <f t="shared" ref="S287:S291" si="19">D287-R287</f>
        <v>0</v>
      </c>
      <c r="T287" s="27"/>
      <c r="U287" s="27"/>
      <c r="V287" s="27"/>
      <c r="W287" s="27"/>
      <c r="X287" s="27"/>
      <c r="Y287" s="27"/>
      <c r="Z287" s="27"/>
    </row>
    <row r="288" spans="1:26" ht="14.25" customHeight="1" x14ac:dyDescent="0.35">
      <c r="A288" s="83"/>
      <c r="B288" s="47" t="s">
        <v>1270</v>
      </c>
      <c r="C288" s="1"/>
      <c r="D288" s="105"/>
      <c r="E288" s="105"/>
      <c r="F288" s="84"/>
      <c r="G288" s="86"/>
      <c r="H288" s="84"/>
      <c r="I288" s="84"/>
      <c r="J288" s="1"/>
      <c r="K288" s="32"/>
      <c r="L288" s="32"/>
      <c r="M288" s="32"/>
      <c r="N288" s="32"/>
      <c r="O288" s="32"/>
      <c r="P288" s="32"/>
      <c r="Q288" s="93">
        <f t="shared" si="16"/>
        <v>0</v>
      </c>
      <c r="R288" s="95">
        <f t="shared" si="17"/>
        <v>0</v>
      </c>
      <c r="S288" s="97">
        <f t="shared" si="19"/>
        <v>0</v>
      </c>
      <c r="T288" s="27"/>
      <c r="U288" s="27"/>
      <c r="V288" s="27"/>
      <c r="W288" s="27"/>
      <c r="X288" s="27"/>
      <c r="Y288" s="27"/>
      <c r="Z288" s="27"/>
    </row>
    <row r="289" spans="1:26" ht="14.25" customHeight="1" x14ac:dyDescent="0.35">
      <c r="A289" s="83"/>
      <c r="B289" s="112" t="s">
        <v>778</v>
      </c>
      <c r="C289" s="33" t="s">
        <v>1391</v>
      </c>
      <c r="D289" s="86"/>
      <c r="E289" s="86"/>
      <c r="F289" s="87"/>
      <c r="G289" s="86"/>
      <c r="H289" s="86"/>
      <c r="I289" s="84"/>
      <c r="J289" s="398"/>
      <c r="K289" s="119"/>
      <c r="L289" s="119"/>
      <c r="M289" s="119"/>
      <c r="N289" s="119"/>
      <c r="O289" s="119"/>
      <c r="P289" s="119"/>
      <c r="Q289" s="93">
        <f t="shared" si="16"/>
        <v>0</v>
      </c>
      <c r="R289" s="95">
        <f t="shared" si="17"/>
        <v>0</v>
      </c>
      <c r="S289" s="97">
        <f t="shared" si="19"/>
        <v>0</v>
      </c>
      <c r="T289" s="27"/>
      <c r="U289" s="27"/>
      <c r="V289" s="27"/>
      <c r="W289" s="27"/>
      <c r="X289" s="27"/>
      <c r="Y289" s="27"/>
      <c r="Z289" s="27"/>
    </row>
    <row r="290" spans="1:26" ht="14.25" customHeight="1" x14ac:dyDescent="0.35">
      <c r="A290" s="83"/>
      <c r="B290" s="47" t="s">
        <v>769</v>
      </c>
      <c r="C290" s="1" t="s">
        <v>1397</v>
      </c>
      <c r="D290" s="86"/>
      <c r="E290" s="86"/>
      <c r="F290" s="105"/>
      <c r="G290" s="86"/>
      <c r="H290" s="92"/>
      <c r="I290" s="84"/>
      <c r="J290" s="398"/>
      <c r="K290" s="119"/>
      <c r="L290" s="119"/>
      <c r="M290" s="119"/>
      <c r="N290" s="119"/>
      <c r="O290" s="119"/>
      <c r="P290" s="119"/>
      <c r="Q290" s="93">
        <f t="shared" si="16"/>
        <v>0</v>
      </c>
      <c r="R290" s="95">
        <f t="shared" si="17"/>
        <v>0</v>
      </c>
      <c r="S290" s="97">
        <f t="shared" si="19"/>
        <v>0</v>
      </c>
      <c r="T290" s="27"/>
      <c r="U290" s="27"/>
      <c r="V290" s="27"/>
      <c r="W290" s="27"/>
      <c r="X290" s="27"/>
      <c r="Y290" s="27"/>
      <c r="Z290" s="27"/>
    </row>
    <row r="291" spans="1:26" ht="14.25" customHeight="1" x14ac:dyDescent="0.35">
      <c r="A291" s="83"/>
      <c r="B291" s="47" t="s">
        <v>786</v>
      </c>
      <c r="C291" s="1" t="s">
        <v>1404</v>
      </c>
      <c r="D291" s="105"/>
      <c r="E291" s="86"/>
      <c r="F291" s="87"/>
      <c r="G291" s="86"/>
      <c r="H291" s="86"/>
      <c r="I291" s="84"/>
      <c r="J291" s="398"/>
      <c r="K291" s="119"/>
      <c r="L291" s="119"/>
      <c r="M291" s="119"/>
      <c r="N291" s="119"/>
      <c r="O291" s="119"/>
      <c r="P291" s="119"/>
      <c r="Q291" s="93">
        <f t="shared" si="16"/>
        <v>0</v>
      </c>
      <c r="R291" s="95">
        <f t="shared" si="17"/>
        <v>0</v>
      </c>
      <c r="S291" s="97">
        <f t="shared" si="19"/>
        <v>0</v>
      </c>
      <c r="T291" s="27"/>
      <c r="U291" s="27"/>
      <c r="V291" s="27"/>
      <c r="W291" s="27"/>
      <c r="X291" s="27"/>
      <c r="Y291" s="27"/>
      <c r="Z291" s="27"/>
    </row>
    <row r="292" spans="1:26" ht="14.25" customHeight="1" x14ac:dyDescent="0.35">
      <c r="A292" s="83"/>
      <c r="B292" s="47" t="s">
        <v>1452</v>
      </c>
      <c r="C292" s="1"/>
      <c r="D292" s="105"/>
      <c r="E292" s="86"/>
      <c r="F292" s="87"/>
      <c r="G292" s="86"/>
      <c r="H292" s="86"/>
      <c r="I292" s="84"/>
      <c r="J292" s="86"/>
      <c r="K292" s="32"/>
      <c r="L292" s="32"/>
      <c r="M292" s="32"/>
      <c r="N292" s="32"/>
      <c r="O292" s="32"/>
      <c r="P292" s="32"/>
      <c r="Q292" s="93">
        <f t="shared" si="16"/>
        <v>0</v>
      </c>
      <c r="R292" s="95">
        <f t="shared" si="17"/>
        <v>0</v>
      </c>
      <c r="S292" s="97"/>
      <c r="T292" s="27"/>
      <c r="U292" s="27"/>
      <c r="V292" s="27"/>
      <c r="W292" s="27"/>
      <c r="X292" s="27"/>
      <c r="Y292" s="27"/>
      <c r="Z292" s="27"/>
    </row>
    <row r="293" spans="1:26" ht="14.25" customHeight="1" x14ac:dyDescent="0.35">
      <c r="A293" s="83"/>
      <c r="B293" s="47" t="s">
        <v>1453</v>
      </c>
      <c r="C293" s="1"/>
      <c r="D293" s="136"/>
      <c r="E293" s="136"/>
      <c r="F293" s="1"/>
      <c r="G293" s="86"/>
      <c r="H293" s="84"/>
      <c r="I293" s="84"/>
      <c r="J293" s="105"/>
      <c r="K293" s="32"/>
      <c r="L293" s="32"/>
      <c r="M293" s="32"/>
      <c r="N293" s="32"/>
      <c r="O293" s="32"/>
      <c r="P293" s="32"/>
      <c r="Q293" s="93">
        <f t="shared" si="16"/>
        <v>0</v>
      </c>
      <c r="R293" s="95">
        <f t="shared" si="17"/>
        <v>0</v>
      </c>
      <c r="S293" s="97">
        <f t="shared" ref="S293:S299" si="20">D293-R293</f>
        <v>0</v>
      </c>
      <c r="T293" s="27"/>
      <c r="U293" s="27"/>
      <c r="V293" s="27"/>
      <c r="W293" s="27"/>
      <c r="X293" s="27"/>
      <c r="Y293" s="27"/>
      <c r="Z293" s="27"/>
    </row>
    <row r="294" spans="1:26" ht="14.25" customHeight="1" x14ac:dyDescent="0.35">
      <c r="A294" s="83"/>
      <c r="B294" s="47" t="s">
        <v>1409</v>
      </c>
      <c r="C294" s="105"/>
      <c r="D294" s="105"/>
      <c r="E294" s="86"/>
      <c r="F294" s="87"/>
      <c r="G294" s="86"/>
      <c r="H294" s="86"/>
      <c r="I294" s="84"/>
      <c r="J294" s="391"/>
      <c r="K294" s="119"/>
      <c r="L294" s="119"/>
      <c r="M294" s="119"/>
      <c r="N294" s="119"/>
      <c r="O294" s="119"/>
      <c r="P294" s="119"/>
      <c r="Q294" s="93">
        <f t="shared" si="16"/>
        <v>0</v>
      </c>
      <c r="R294" s="95">
        <f t="shared" si="17"/>
        <v>0</v>
      </c>
      <c r="S294" s="97">
        <f t="shared" si="20"/>
        <v>0</v>
      </c>
      <c r="T294" s="27"/>
      <c r="U294" s="27"/>
      <c r="V294" s="27"/>
      <c r="W294" s="27"/>
      <c r="X294" s="27"/>
      <c r="Y294" s="27"/>
      <c r="Z294" s="27"/>
    </row>
    <row r="295" spans="1:26" ht="14.25" customHeight="1" x14ac:dyDescent="0.35">
      <c r="A295" s="83"/>
      <c r="B295" s="47" t="s">
        <v>846</v>
      </c>
      <c r="C295" s="105"/>
      <c r="D295" s="86"/>
      <c r="E295" s="86"/>
      <c r="F295" s="87"/>
      <c r="G295" s="86"/>
      <c r="H295" s="86"/>
      <c r="I295" s="84"/>
      <c r="J295" s="398"/>
      <c r="K295" s="119"/>
      <c r="L295" s="119"/>
      <c r="M295" s="119"/>
      <c r="N295" s="119"/>
      <c r="O295" s="119"/>
      <c r="P295" s="119"/>
      <c r="Q295" s="93">
        <f t="shared" si="16"/>
        <v>0</v>
      </c>
      <c r="R295" s="95">
        <f t="shared" si="17"/>
        <v>0</v>
      </c>
      <c r="S295" s="97">
        <f t="shared" si="20"/>
        <v>0</v>
      </c>
      <c r="T295" s="27"/>
      <c r="U295" s="27"/>
      <c r="V295" s="27"/>
      <c r="W295" s="27"/>
      <c r="X295" s="27"/>
      <c r="Y295" s="27"/>
      <c r="Z295" s="27"/>
    </row>
    <row r="296" spans="1:26" ht="14.25" customHeight="1" x14ac:dyDescent="0.35">
      <c r="A296" s="83"/>
      <c r="B296" s="47" t="s">
        <v>795</v>
      </c>
      <c r="C296" s="105" t="s">
        <v>1415</v>
      </c>
      <c r="D296" s="105"/>
      <c r="E296" s="86"/>
      <c r="F296" s="87"/>
      <c r="G296" s="86"/>
      <c r="H296" s="86"/>
      <c r="I296" s="84"/>
      <c r="J296" s="86"/>
      <c r="K296" s="32"/>
      <c r="L296" s="32"/>
      <c r="M296" s="32"/>
      <c r="N296" s="32"/>
      <c r="O296" s="32"/>
      <c r="P296" s="32"/>
      <c r="Q296" s="93">
        <f t="shared" si="16"/>
        <v>0</v>
      </c>
      <c r="R296" s="95">
        <f t="shared" si="17"/>
        <v>0</v>
      </c>
      <c r="S296" s="97">
        <f t="shared" si="20"/>
        <v>0</v>
      </c>
      <c r="T296" s="27"/>
      <c r="U296" s="27"/>
      <c r="V296" s="27"/>
      <c r="W296" s="27"/>
      <c r="X296" s="27"/>
      <c r="Y296" s="27"/>
      <c r="Z296" s="27"/>
    </row>
    <row r="297" spans="1:26" ht="14.25" customHeight="1" x14ac:dyDescent="0.35">
      <c r="A297" s="83"/>
      <c r="B297" s="47" t="s">
        <v>1416</v>
      </c>
      <c r="C297" s="105"/>
      <c r="D297" s="86"/>
      <c r="E297" s="86"/>
      <c r="F297" s="87"/>
      <c r="G297" s="86"/>
      <c r="H297" s="86"/>
      <c r="I297" s="84"/>
      <c r="J297" s="398"/>
      <c r="K297" s="119"/>
      <c r="L297" s="119"/>
      <c r="M297" s="119"/>
      <c r="N297" s="119"/>
      <c r="O297" s="119"/>
      <c r="P297" s="119"/>
      <c r="Q297" s="93">
        <f t="shared" si="16"/>
        <v>0</v>
      </c>
      <c r="R297" s="95">
        <f t="shared" si="17"/>
        <v>0</v>
      </c>
      <c r="S297" s="97">
        <f t="shared" si="20"/>
        <v>0</v>
      </c>
      <c r="T297" s="27"/>
      <c r="U297" s="27"/>
      <c r="V297" s="27"/>
      <c r="W297" s="27"/>
      <c r="X297" s="27"/>
      <c r="Y297" s="27"/>
      <c r="Z297" s="27"/>
    </row>
    <row r="298" spans="1:26" ht="14.25" customHeight="1" x14ac:dyDescent="0.35">
      <c r="A298" s="83"/>
      <c r="B298" s="47" t="s">
        <v>842</v>
      </c>
      <c r="C298" s="105"/>
      <c r="D298" s="105"/>
      <c r="E298" s="86"/>
      <c r="F298" s="87"/>
      <c r="G298" s="86"/>
      <c r="H298" s="86"/>
      <c r="I298" s="84"/>
      <c r="J298" s="391"/>
      <c r="K298" s="119"/>
      <c r="L298" s="119"/>
      <c r="M298" s="119"/>
      <c r="N298" s="119"/>
      <c r="O298" s="119"/>
      <c r="P298" s="119"/>
      <c r="Q298" s="93">
        <f t="shared" si="16"/>
        <v>0</v>
      </c>
      <c r="R298" s="95">
        <f t="shared" si="17"/>
        <v>0</v>
      </c>
      <c r="S298" s="97">
        <f t="shared" si="20"/>
        <v>0</v>
      </c>
      <c r="T298" s="27"/>
      <c r="U298" s="27"/>
      <c r="V298" s="27"/>
      <c r="W298" s="27"/>
      <c r="X298" s="27"/>
      <c r="Y298" s="27"/>
      <c r="Z298" s="27"/>
    </row>
    <row r="299" spans="1:26" ht="14.25" customHeight="1" x14ac:dyDescent="0.35">
      <c r="A299" s="83"/>
      <c r="B299" s="47" t="s">
        <v>1418</v>
      </c>
      <c r="C299" s="105"/>
      <c r="D299" s="105"/>
      <c r="E299" s="86"/>
      <c r="F299" s="87"/>
      <c r="G299" s="86"/>
      <c r="H299" s="86"/>
      <c r="I299" s="84"/>
      <c r="J299" s="391"/>
      <c r="K299" s="119"/>
      <c r="L299" s="119"/>
      <c r="M299" s="119"/>
      <c r="N299" s="119"/>
      <c r="O299" s="119"/>
      <c r="P299" s="119"/>
      <c r="Q299" s="93">
        <f t="shared" si="16"/>
        <v>0</v>
      </c>
      <c r="R299" s="95">
        <f t="shared" si="17"/>
        <v>0</v>
      </c>
      <c r="S299" s="97">
        <f t="shared" si="20"/>
        <v>0</v>
      </c>
      <c r="T299" s="27"/>
      <c r="U299" s="27"/>
      <c r="V299" s="27"/>
      <c r="W299" s="27"/>
      <c r="X299" s="27"/>
      <c r="Y299" s="27"/>
      <c r="Z299" s="27"/>
    </row>
    <row r="300" spans="1:26" ht="14.25" customHeight="1" x14ac:dyDescent="0.35">
      <c r="A300" s="83"/>
      <c r="B300" s="47" t="s">
        <v>1228</v>
      </c>
      <c r="C300" s="105"/>
      <c r="D300" s="105"/>
      <c r="E300" s="86"/>
      <c r="F300" s="87"/>
      <c r="G300" s="86"/>
      <c r="H300" s="86"/>
      <c r="I300" s="84"/>
      <c r="J300" s="142"/>
      <c r="K300" s="32"/>
      <c r="L300" s="32"/>
      <c r="M300" s="32"/>
      <c r="N300" s="32"/>
      <c r="O300" s="32"/>
      <c r="P300" s="32"/>
      <c r="Q300" s="93">
        <f t="shared" si="16"/>
        <v>0</v>
      </c>
      <c r="R300" s="95">
        <f t="shared" si="17"/>
        <v>0</v>
      </c>
      <c r="S300" s="97"/>
      <c r="T300" s="27"/>
      <c r="U300" s="27"/>
      <c r="V300" s="27"/>
      <c r="W300" s="27"/>
      <c r="X300" s="27"/>
      <c r="Y300" s="27"/>
      <c r="Z300" s="27"/>
    </row>
    <row r="301" spans="1:26" ht="14.25" customHeight="1" x14ac:dyDescent="0.35">
      <c r="A301" s="83"/>
      <c r="B301" s="47" t="s">
        <v>853</v>
      </c>
      <c r="C301" s="105"/>
      <c r="D301" s="86"/>
      <c r="E301" s="86"/>
      <c r="F301" s="87"/>
      <c r="G301" s="86"/>
      <c r="H301" s="86"/>
      <c r="I301" s="84"/>
      <c r="J301" s="398"/>
      <c r="K301" s="119"/>
      <c r="L301" s="119"/>
      <c r="M301" s="119"/>
      <c r="N301" s="119"/>
      <c r="O301" s="119"/>
      <c r="P301" s="119"/>
      <c r="Q301" s="93">
        <f t="shared" si="16"/>
        <v>0</v>
      </c>
      <c r="R301" s="95">
        <f t="shared" si="17"/>
        <v>0</v>
      </c>
      <c r="S301" s="97">
        <f t="shared" ref="S301:S304" si="21">D301-R301</f>
        <v>0</v>
      </c>
      <c r="T301" s="27"/>
      <c r="U301" s="27"/>
      <c r="V301" s="27"/>
      <c r="W301" s="27"/>
      <c r="X301" s="27"/>
      <c r="Y301" s="27"/>
      <c r="Z301" s="27"/>
    </row>
    <row r="302" spans="1:26" ht="14.25" customHeight="1" x14ac:dyDescent="0.35">
      <c r="A302" s="83"/>
      <c r="B302" s="47" t="s">
        <v>831</v>
      </c>
      <c r="C302" s="105"/>
      <c r="D302" s="105"/>
      <c r="E302" s="86"/>
      <c r="F302" s="87"/>
      <c r="G302" s="86"/>
      <c r="H302" s="86"/>
      <c r="I302" s="84"/>
      <c r="J302" s="391"/>
      <c r="K302" s="119"/>
      <c r="L302" s="119"/>
      <c r="M302" s="119"/>
      <c r="N302" s="119"/>
      <c r="O302" s="119"/>
      <c r="P302" s="119"/>
      <c r="Q302" s="93">
        <f t="shared" si="16"/>
        <v>0</v>
      </c>
      <c r="R302" s="95">
        <f t="shared" si="17"/>
        <v>0</v>
      </c>
      <c r="S302" s="97">
        <f t="shared" si="21"/>
        <v>0</v>
      </c>
      <c r="T302" s="27"/>
      <c r="U302" s="27"/>
      <c r="V302" s="27"/>
      <c r="W302" s="27"/>
      <c r="X302" s="27"/>
      <c r="Y302" s="27"/>
      <c r="Z302" s="27"/>
    </row>
    <row r="303" spans="1:26" ht="14.25" customHeight="1" x14ac:dyDescent="0.35">
      <c r="A303" s="83"/>
      <c r="B303" s="47" t="s">
        <v>1421</v>
      </c>
      <c r="C303" s="105"/>
      <c r="D303" s="105"/>
      <c r="E303" s="86"/>
      <c r="F303" s="87"/>
      <c r="G303" s="86"/>
      <c r="H303" s="86"/>
      <c r="I303" s="84"/>
      <c r="J303" s="391"/>
      <c r="K303" s="119"/>
      <c r="L303" s="119"/>
      <c r="M303" s="119"/>
      <c r="N303" s="119"/>
      <c r="O303" s="119"/>
      <c r="P303" s="119"/>
      <c r="Q303" s="93">
        <f t="shared" si="16"/>
        <v>0</v>
      </c>
      <c r="R303" s="95">
        <f t="shared" si="17"/>
        <v>0</v>
      </c>
      <c r="S303" s="97">
        <f t="shared" si="21"/>
        <v>0</v>
      </c>
      <c r="T303" s="27"/>
      <c r="U303" s="27"/>
      <c r="V303" s="27"/>
      <c r="W303" s="27"/>
      <c r="X303" s="27"/>
      <c r="Y303" s="27"/>
      <c r="Z303" s="27"/>
    </row>
    <row r="304" spans="1:26" ht="14.25" customHeight="1" x14ac:dyDescent="0.35">
      <c r="A304" s="83"/>
      <c r="B304" s="47" t="s">
        <v>1221</v>
      </c>
      <c r="C304" s="105" t="s">
        <v>1474</v>
      </c>
      <c r="D304" s="105"/>
      <c r="E304" s="86"/>
      <c r="F304" s="87"/>
      <c r="G304" s="86"/>
      <c r="H304" s="86"/>
      <c r="I304" s="84"/>
      <c r="J304" s="142"/>
      <c r="K304" s="32"/>
      <c r="L304" s="32"/>
      <c r="M304" s="32"/>
      <c r="N304" s="32"/>
      <c r="O304" s="32"/>
      <c r="P304" s="32"/>
      <c r="Q304" s="93">
        <f t="shared" si="16"/>
        <v>0</v>
      </c>
      <c r="R304" s="95">
        <f t="shared" si="17"/>
        <v>0</v>
      </c>
      <c r="S304" s="97">
        <f t="shared" si="21"/>
        <v>0</v>
      </c>
      <c r="T304" s="27"/>
      <c r="U304" s="27"/>
      <c r="V304" s="27"/>
      <c r="W304" s="27"/>
      <c r="X304" s="27"/>
      <c r="Y304" s="27"/>
      <c r="Z304" s="27"/>
    </row>
    <row r="305" spans="1:26" ht="14.25" customHeight="1" x14ac:dyDescent="0.35">
      <c r="A305" s="83"/>
      <c r="B305" s="47" t="s">
        <v>1478</v>
      </c>
      <c r="C305" s="105"/>
      <c r="D305" s="105"/>
      <c r="E305" s="86"/>
      <c r="F305" s="87"/>
      <c r="G305" s="86"/>
      <c r="H305" s="86"/>
      <c r="I305" s="84"/>
      <c r="J305" s="142"/>
      <c r="K305" s="32"/>
      <c r="L305" s="32"/>
      <c r="M305" s="32"/>
      <c r="N305" s="32"/>
      <c r="O305" s="32"/>
      <c r="P305" s="32"/>
      <c r="Q305" s="93">
        <f t="shared" si="16"/>
        <v>0</v>
      </c>
      <c r="R305" s="95">
        <f t="shared" si="17"/>
        <v>0</v>
      </c>
      <c r="S305" s="97"/>
      <c r="T305" s="27"/>
      <c r="U305" s="27"/>
      <c r="V305" s="27"/>
      <c r="W305" s="27"/>
      <c r="X305" s="27"/>
      <c r="Y305" s="27"/>
      <c r="Z305" s="27"/>
    </row>
    <row r="306" spans="1:26" ht="14.25" customHeight="1" x14ac:dyDescent="0.35">
      <c r="A306" s="83"/>
      <c r="B306" s="47" t="s">
        <v>803</v>
      </c>
      <c r="C306" s="105"/>
      <c r="D306" s="105"/>
      <c r="E306" s="86"/>
      <c r="F306" s="87"/>
      <c r="G306" s="86"/>
      <c r="H306" s="86"/>
      <c r="I306" s="84"/>
      <c r="J306" s="142"/>
      <c r="K306" s="32"/>
      <c r="L306" s="32"/>
      <c r="M306" s="32"/>
      <c r="N306" s="32"/>
      <c r="O306" s="32"/>
      <c r="P306" s="32"/>
      <c r="Q306" s="93">
        <f t="shared" si="16"/>
        <v>0</v>
      </c>
      <c r="R306" s="95">
        <f t="shared" si="17"/>
        <v>0</v>
      </c>
      <c r="S306" s="97">
        <f t="shared" ref="S306:S312" si="22">D306-R306</f>
        <v>0</v>
      </c>
      <c r="T306" s="27"/>
      <c r="U306" s="27"/>
      <c r="V306" s="27"/>
      <c r="W306" s="27"/>
      <c r="X306" s="27"/>
      <c r="Y306" s="27"/>
      <c r="Z306" s="27"/>
    </row>
    <row r="307" spans="1:26" ht="14.25" customHeight="1" x14ac:dyDescent="0.35">
      <c r="A307" s="83"/>
      <c r="B307" s="47" t="s">
        <v>1422</v>
      </c>
      <c r="C307" s="1" t="s">
        <v>1423</v>
      </c>
      <c r="D307" s="84"/>
      <c r="E307" s="84"/>
      <c r="F307" s="84"/>
      <c r="G307" s="86"/>
      <c r="H307" s="142"/>
      <c r="I307" s="84"/>
      <c r="J307" s="398"/>
      <c r="K307" s="119"/>
      <c r="L307" s="119"/>
      <c r="M307" s="119"/>
      <c r="N307" s="119"/>
      <c r="O307" s="119"/>
      <c r="P307" s="119"/>
      <c r="Q307" s="93">
        <f t="shared" si="16"/>
        <v>0</v>
      </c>
      <c r="R307" s="95">
        <f t="shared" si="17"/>
        <v>0</v>
      </c>
      <c r="S307" s="97">
        <f t="shared" si="22"/>
        <v>0</v>
      </c>
      <c r="T307" s="27"/>
      <c r="U307" s="27"/>
      <c r="V307" s="27"/>
      <c r="W307" s="27"/>
      <c r="X307" s="27"/>
      <c r="Y307" s="27"/>
      <c r="Z307" s="27"/>
    </row>
    <row r="308" spans="1:26" ht="14.25" customHeight="1" x14ac:dyDescent="0.35">
      <c r="A308" s="83"/>
      <c r="B308" s="47" t="s">
        <v>839</v>
      </c>
      <c r="C308" s="105"/>
      <c r="D308" s="105"/>
      <c r="E308" s="86"/>
      <c r="F308" s="87"/>
      <c r="G308" s="86"/>
      <c r="H308" s="86"/>
      <c r="I308" s="84"/>
      <c r="J308" s="391"/>
      <c r="K308" s="119"/>
      <c r="L308" s="119"/>
      <c r="M308" s="119"/>
      <c r="N308" s="119"/>
      <c r="O308" s="119"/>
      <c r="P308" s="119"/>
      <c r="Q308" s="93">
        <f t="shared" si="16"/>
        <v>0</v>
      </c>
      <c r="R308" s="95">
        <f t="shared" si="17"/>
        <v>0</v>
      </c>
      <c r="S308" s="97">
        <f t="shared" si="22"/>
        <v>0</v>
      </c>
      <c r="T308" s="27"/>
      <c r="U308" s="27"/>
      <c r="V308" s="27"/>
      <c r="W308" s="27"/>
      <c r="X308" s="27"/>
      <c r="Y308" s="27"/>
      <c r="Z308" s="27"/>
    </row>
    <row r="309" spans="1:26" ht="14.25" customHeight="1" x14ac:dyDescent="0.35">
      <c r="A309" s="83"/>
      <c r="B309" s="47" t="s">
        <v>793</v>
      </c>
      <c r="C309" s="1" t="s">
        <v>1424</v>
      </c>
      <c r="D309" s="142"/>
      <c r="E309" s="84"/>
      <c r="F309" s="84"/>
      <c r="G309" s="86"/>
      <c r="H309" s="142"/>
      <c r="I309" s="84"/>
      <c r="J309" s="398"/>
      <c r="K309" s="119"/>
      <c r="L309" s="119"/>
      <c r="M309" s="119"/>
      <c r="N309" s="119"/>
      <c r="O309" s="119"/>
      <c r="P309" s="119"/>
      <c r="Q309" s="93">
        <f t="shared" si="16"/>
        <v>0</v>
      </c>
      <c r="R309" s="95">
        <f t="shared" si="17"/>
        <v>0</v>
      </c>
      <c r="S309" s="97">
        <f t="shared" si="22"/>
        <v>0</v>
      </c>
      <c r="T309" s="27"/>
      <c r="U309" s="27"/>
      <c r="V309" s="27"/>
      <c r="W309" s="27"/>
      <c r="X309" s="27"/>
      <c r="Y309" s="27"/>
      <c r="Z309" s="27"/>
    </row>
    <row r="310" spans="1:26" ht="14.25" customHeight="1" x14ac:dyDescent="0.35">
      <c r="A310" s="83"/>
      <c r="B310" s="112" t="s">
        <v>1427</v>
      </c>
      <c r="C310" s="33" t="s">
        <v>1428</v>
      </c>
      <c r="D310" s="86"/>
      <c r="E310" s="86"/>
      <c r="F310" s="87"/>
      <c r="G310" s="86"/>
      <c r="H310" s="86"/>
      <c r="I310" s="84"/>
      <c r="J310" s="398"/>
      <c r="K310" s="119"/>
      <c r="L310" s="119"/>
      <c r="M310" s="119"/>
      <c r="N310" s="119"/>
      <c r="O310" s="119"/>
      <c r="P310" s="119"/>
      <c r="Q310" s="93">
        <f t="shared" si="16"/>
        <v>0</v>
      </c>
      <c r="R310" s="95">
        <f t="shared" si="17"/>
        <v>0</v>
      </c>
      <c r="S310" s="97">
        <f t="shared" si="22"/>
        <v>0</v>
      </c>
      <c r="T310" s="27"/>
      <c r="U310" s="27"/>
      <c r="V310" s="27"/>
      <c r="W310" s="27"/>
      <c r="X310" s="27"/>
      <c r="Y310" s="27"/>
      <c r="Z310" s="27"/>
    </row>
    <row r="311" spans="1:26" ht="14.25" customHeight="1" x14ac:dyDescent="0.35">
      <c r="A311" s="83"/>
      <c r="B311" s="47" t="s">
        <v>1425</v>
      </c>
      <c r="C311" s="105"/>
      <c r="D311" s="105"/>
      <c r="E311" s="86"/>
      <c r="F311" s="87"/>
      <c r="G311" s="86"/>
      <c r="H311" s="86"/>
      <c r="I311" s="84"/>
      <c r="J311" s="142"/>
      <c r="K311" s="32"/>
      <c r="L311" s="32"/>
      <c r="M311" s="32"/>
      <c r="N311" s="32"/>
      <c r="O311" s="32"/>
      <c r="P311" s="32"/>
      <c r="Q311" s="93">
        <f t="shared" si="16"/>
        <v>0</v>
      </c>
      <c r="R311" s="95">
        <f t="shared" si="17"/>
        <v>0</v>
      </c>
      <c r="S311" s="97">
        <f t="shared" si="22"/>
        <v>0</v>
      </c>
      <c r="T311" s="27"/>
      <c r="U311" s="27"/>
      <c r="V311" s="27"/>
      <c r="W311" s="27"/>
      <c r="X311" s="27"/>
      <c r="Y311" s="27"/>
      <c r="Z311" s="27"/>
    </row>
    <row r="312" spans="1:26" ht="14.25" customHeight="1" x14ac:dyDescent="0.35">
      <c r="A312" s="83"/>
      <c r="B312" s="47" t="s">
        <v>771</v>
      </c>
      <c r="C312" s="105"/>
      <c r="D312" s="86"/>
      <c r="E312" s="86"/>
      <c r="F312" s="87"/>
      <c r="G312" s="86"/>
      <c r="H312" s="86"/>
      <c r="I312" s="84"/>
      <c r="J312" s="398"/>
      <c r="K312" s="119"/>
      <c r="L312" s="119"/>
      <c r="M312" s="119"/>
      <c r="N312" s="119"/>
      <c r="O312" s="119"/>
      <c r="P312" s="119"/>
      <c r="Q312" s="93">
        <f t="shared" si="16"/>
        <v>0</v>
      </c>
      <c r="R312" s="95">
        <f t="shared" si="17"/>
        <v>0</v>
      </c>
      <c r="S312" s="97">
        <f t="shared" si="22"/>
        <v>0</v>
      </c>
      <c r="T312" s="27"/>
      <c r="U312" s="27"/>
      <c r="V312" s="27"/>
      <c r="W312" s="27"/>
      <c r="X312" s="27"/>
      <c r="Y312" s="27"/>
      <c r="Z312" s="27"/>
    </row>
    <row r="313" spans="1:26" ht="14.25" customHeight="1" x14ac:dyDescent="0.35">
      <c r="A313" s="60"/>
      <c r="B313" s="312" t="s">
        <v>620</v>
      </c>
      <c r="C313" s="29"/>
      <c r="D313" s="286"/>
      <c r="E313" s="286"/>
      <c r="F313" s="286"/>
      <c r="G313" s="286"/>
      <c r="H313" s="286"/>
      <c r="I313" s="286"/>
      <c r="J313" s="286"/>
      <c r="K313" s="286"/>
      <c r="L313" s="286"/>
      <c r="M313" s="286"/>
      <c r="N313" s="286"/>
      <c r="O313" s="286"/>
      <c r="P313" s="286"/>
      <c r="Q313" s="286">
        <f t="shared" ref="D313:S313" si="23">SUM(Q279:Q312)</f>
        <v>0</v>
      </c>
      <c r="R313" s="286">
        <f t="shared" si="23"/>
        <v>0</v>
      </c>
      <c r="S313" s="286">
        <f t="shared" si="23"/>
        <v>0</v>
      </c>
      <c r="T313" s="320"/>
      <c r="U313" s="320"/>
      <c r="V313" s="320"/>
      <c r="W313" s="320"/>
      <c r="X313" s="320"/>
      <c r="Y313" s="320"/>
      <c r="Z313" s="320"/>
    </row>
    <row r="314" spans="1:26" ht="14.25" customHeight="1" x14ac:dyDescent="0.35">
      <c r="A314" s="83"/>
      <c r="B314" s="47"/>
      <c r="C314" s="1"/>
      <c r="D314" s="105"/>
      <c r="E314" s="1"/>
      <c r="F314" s="1"/>
      <c r="G314" s="1"/>
      <c r="H314" s="1"/>
      <c r="I314" s="1"/>
      <c r="J314" s="1"/>
      <c r="K314" s="32"/>
      <c r="L314" s="32"/>
      <c r="M314" s="32"/>
      <c r="N314" s="32"/>
      <c r="O314" s="32"/>
      <c r="P314" s="32"/>
      <c r="Q314" s="93"/>
      <c r="R314" s="95"/>
      <c r="S314" s="97"/>
      <c r="T314" s="27"/>
      <c r="U314" s="27"/>
      <c r="V314" s="27"/>
      <c r="W314" s="27"/>
      <c r="X314" s="27"/>
      <c r="Y314" s="27"/>
      <c r="Z314" s="27"/>
    </row>
    <row r="315" spans="1:26" ht="14.25" customHeight="1" x14ac:dyDescent="0.35">
      <c r="A315" s="83"/>
      <c r="B315" s="312" t="s">
        <v>1497</v>
      </c>
      <c r="C315" s="1"/>
      <c r="D315" s="1"/>
      <c r="E315" s="1"/>
      <c r="F315" s="1"/>
      <c r="G315" s="1"/>
      <c r="H315" s="1"/>
      <c r="I315" s="1"/>
      <c r="J315" s="1"/>
      <c r="K315" s="32"/>
      <c r="L315" s="32"/>
      <c r="M315" s="32"/>
      <c r="N315" s="32"/>
      <c r="O315" s="32"/>
      <c r="P315" s="32"/>
      <c r="Q315" s="93"/>
      <c r="R315" s="95"/>
      <c r="S315" s="97">
        <f t="shared" ref="S315:S320" si="24">D315-R315</f>
        <v>0</v>
      </c>
      <c r="T315" s="27"/>
      <c r="U315" s="27"/>
      <c r="V315" s="27"/>
      <c r="W315" s="27"/>
      <c r="X315" s="27"/>
      <c r="Y315" s="27"/>
      <c r="Z315" s="27"/>
    </row>
    <row r="316" spans="1:26" ht="14.25" customHeight="1" x14ac:dyDescent="0.35">
      <c r="A316" s="83"/>
      <c r="B316" s="47" t="s">
        <v>1237</v>
      </c>
      <c r="C316" s="1" t="s">
        <v>1502</v>
      </c>
      <c r="D316" s="136"/>
      <c r="E316" s="84"/>
      <c r="F316" s="1"/>
      <c r="G316" s="1"/>
      <c r="H316" s="1"/>
      <c r="I316" s="1"/>
      <c r="J316" s="92"/>
      <c r="K316" s="32"/>
      <c r="L316" s="32"/>
      <c r="M316" s="32"/>
      <c r="N316" s="32"/>
      <c r="O316" s="32"/>
      <c r="P316" s="32"/>
      <c r="Q316" s="93">
        <f t="shared" ref="Q316:Q319" si="25">E316-I316-J316-K316-L316-M316-N316-O316-P316</f>
        <v>0</v>
      </c>
      <c r="R316" s="95">
        <f t="shared" ref="R316:R320" si="26">J316+K316+L316+M316+N316+O316+P316+Q316</f>
        <v>0</v>
      </c>
      <c r="S316" s="97">
        <f t="shared" si="24"/>
        <v>0</v>
      </c>
      <c r="T316" s="27"/>
      <c r="U316" s="27"/>
      <c r="V316" s="27"/>
      <c r="W316" s="27"/>
      <c r="X316" s="27"/>
      <c r="Y316" s="27"/>
      <c r="Z316" s="27"/>
    </row>
    <row r="317" spans="1:26" ht="14.25" customHeight="1" x14ac:dyDescent="0.35">
      <c r="A317" s="83"/>
      <c r="B317" s="47" t="s">
        <v>1503</v>
      </c>
      <c r="C317" s="1" t="s">
        <v>1474</v>
      </c>
      <c r="D317" s="105"/>
      <c r="E317" s="84"/>
      <c r="F317" s="1"/>
      <c r="G317" s="1"/>
      <c r="H317" s="1"/>
      <c r="I317" s="1"/>
      <c r="J317" s="105"/>
      <c r="K317" s="32"/>
      <c r="L317" s="32"/>
      <c r="M317" s="32"/>
      <c r="N317" s="32"/>
      <c r="O317" s="32"/>
      <c r="P317" s="32"/>
      <c r="Q317" s="93">
        <f t="shared" si="25"/>
        <v>0</v>
      </c>
      <c r="R317" s="95">
        <f t="shared" si="26"/>
        <v>0</v>
      </c>
      <c r="S317" s="97">
        <f t="shared" si="24"/>
        <v>0</v>
      </c>
      <c r="T317" s="27"/>
      <c r="U317" s="27"/>
      <c r="V317" s="27"/>
      <c r="W317" s="27"/>
      <c r="X317" s="27"/>
      <c r="Y317" s="27"/>
      <c r="Z317" s="27"/>
    </row>
    <row r="318" spans="1:26" ht="14.25" customHeight="1" x14ac:dyDescent="0.35">
      <c r="A318" s="83"/>
      <c r="B318" s="47" t="s">
        <v>1504</v>
      </c>
      <c r="C318" s="1" t="s">
        <v>1474</v>
      </c>
      <c r="D318" s="105"/>
      <c r="E318" s="84"/>
      <c r="F318" s="1"/>
      <c r="G318" s="1"/>
      <c r="H318" s="1"/>
      <c r="I318" s="1"/>
      <c r="J318" s="105"/>
      <c r="K318" s="32"/>
      <c r="L318" s="32"/>
      <c r="M318" s="32"/>
      <c r="N318" s="32"/>
      <c r="O318" s="32"/>
      <c r="P318" s="32"/>
      <c r="Q318" s="93">
        <f t="shared" si="25"/>
        <v>0</v>
      </c>
      <c r="R318" s="95">
        <f t="shared" si="26"/>
        <v>0</v>
      </c>
      <c r="S318" s="97">
        <f t="shared" si="24"/>
        <v>0</v>
      </c>
      <c r="T318" s="27"/>
      <c r="U318" s="27"/>
      <c r="V318" s="27"/>
      <c r="W318" s="27"/>
      <c r="X318" s="27"/>
      <c r="Y318" s="27"/>
      <c r="Z318" s="27"/>
    </row>
    <row r="319" spans="1:26" ht="14.25" customHeight="1" x14ac:dyDescent="0.35">
      <c r="A319" s="83"/>
      <c r="B319" s="47" t="s">
        <v>1248</v>
      </c>
      <c r="C319" s="1" t="s">
        <v>1502</v>
      </c>
      <c r="D319" s="105"/>
      <c r="E319" s="84"/>
      <c r="F319" s="1"/>
      <c r="G319" s="1"/>
      <c r="H319" s="1"/>
      <c r="I319" s="1"/>
      <c r="J319" s="84"/>
      <c r="K319" s="32"/>
      <c r="L319" s="32"/>
      <c r="M319" s="32"/>
      <c r="N319" s="32"/>
      <c r="O319" s="32"/>
      <c r="P319" s="32"/>
      <c r="Q319" s="93">
        <f t="shared" si="25"/>
        <v>0</v>
      </c>
      <c r="R319" s="95">
        <f t="shared" si="26"/>
        <v>0</v>
      </c>
      <c r="S319" s="97">
        <f t="shared" si="24"/>
        <v>0</v>
      </c>
      <c r="T319" s="27"/>
      <c r="U319" s="27"/>
      <c r="V319" s="27"/>
      <c r="W319" s="27"/>
      <c r="X319" s="27"/>
      <c r="Y319" s="27"/>
      <c r="Z319" s="27"/>
    </row>
    <row r="320" spans="1:26" ht="14.25" customHeight="1" x14ac:dyDescent="0.35">
      <c r="A320" s="60"/>
      <c r="B320" s="312" t="s">
        <v>620</v>
      </c>
      <c r="C320" s="29"/>
      <c r="D320" s="313"/>
      <c r="E320" s="313"/>
      <c r="F320" s="313"/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>
        <f t="shared" ref="D320:Q320" si="27">SUM(Q316:Q319)</f>
        <v>0</v>
      </c>
      <c r="R320" s="316">
        <f t="shared" si="26"/>
        <v>0</v>
      </c>
      <c r="S320" s="317">
        <f t="shared" si="24"/>
        <v>0</v>
      </c>
      <c r="T320" s="320"/>
      <c r="U320" s="320"/>
      <c r="V320" s="320"/>
      <c r="W320" s="320"/>
      <c r="X320" s="320"/>
      <c r="Y320" s="320"/>
      <c r="Z320" s="320"/>
    </row>
    <row r="321" spans="1:26" ht="14.25" customHeight="1" x14ac:dyDescent="0.35">
      <c r="A321" s="83"/>
      <c r="B321" s="47"/>
      <c r="C321" s="1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415"/>
      <c r="R321" s="95"/>
      <c r="S321" s="97"/>
      <c r="T321" s="27"/>
      <c r="U321" s="27"/>
      <c r="V321" s="27"/>
      <c r="W321" s="27"/>
      <c r="X321" s="27"/>
      <c r="Y321" s="27"/>
      <c r="Z321" s="27"/>
    </row>
    <row r="322" spans="1:26" ht="14.25" customHeight="1" x14ac:dyDescent="0.35">
      <c r="A322" s="60"/>
      <c r="B322" s="312" t="s">
        <v>1506</v>
      </c>
      <c r="C322" s="29"/>
      <c r="D322" s="29"/>
      <c r="E322" s="29"/>
      <c r="F322" s="29"/>
      <c r="G322" s="29"/>
      <c r="H322" s="29"/>
      <c r="I322" s="29"/>
      <c r="J322" s="29"/>
      <c r="K322" s="416"/>
      <c r="L322" s="416"/>
      <c r="M322" s="416"/>
      <c r="N322" s="416"/>
      <c r="O322" s="416"/>
      <c r="P322" s="416"/>
      <c r="Q322" s="417"/>
      <c r="R322" s="316">
        <f t="shared" ref="R322:R323" si="28">J322+K322+L322+M322+N322+O322+P322+Q322</f>
        <v>0</v>
      </c>
      <c r="S322" s="317">
        <f t="shared" ref="S322:S323" si="29">D322-R322</f>
        <v>0</v>
      </c>
      <c r="T322" s="320"/>
      <c r="U322" s="320"/>
      <c r="V322" s="320"/>
      <c r="W322" s="320"/>
      <c r="X322" s="320"/>
      <c r="Y322" s="320"/>
      <c r="Z322" s="320"/>
    </row>
    <row r="323" spans="1:26" ht="14.25" customHeight="1" x14ac:dyDescent="0.35">
      <c r="A323" s="83"/>
      <c r="B323" s="47" t="s">
        <v>1507</v>
      </c>
      <c r="C323" s="1"/>
      <c r="D323" s="84"/>
      <c r="E323" s="86"/>
      <c r="F323" s="84"/>
      <c r="G323" s="1"/>
      <c r="H323" s="1"/>
      <c r="I323" s="1"/>
      <c r="J323" s="419"/>
      <c r="K323" s="119"/>
      <c r="L323" s="119"/>
      <c r="M323" s="119"/>
      <c r="N323" s="119"/>
      <c r="O323" s="119"/>
      <c r="P323" s="119"/>
      <c r="Q323" s="93">
        <f>E323-F323-J323-K323-L323-M323-N323-O323-P323</f>
        <v>0</v>
      </c>
      <c r="R323" s="95">
        <f t="shared" si="28"/>
        <v>0</v>
      </c>
      <c r="S323" s="97">
        <f t="shared" si="29"/>
        <v>0</v>
      </c>
      <c r="T323" s="27"/>
      <c r="U323" s="27"/>
      <c r="V323" s="27"/>
      <c r="W323" s="27"/>
      <c r="X323" s="27"/>
      <c r="Y323" s="27"/>
      <c r="Z323" s="27"/>
    </row>
    <row r="324" spans="1:26" ht="14.25" customHeight="1" x14ac:dyDescent="0.35">
      <c r="A324" s="60"/>
      <c r="B324" s="312" t="s">
        <v>620</v>
      </c>
      <c r="C324" s="29"/>
      <c r="D324" s="313"/>
      <c r="E324" s="313"/>
      <c r="F324" s="313"/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>
        <f t="shared" ref="D324:Q324" si="30">+Q323</f>
        <v>0</v>
      </c>
      <c r="R324" s="316"/>
      <c r="S324" s="317"/>
      <c r="T324" s="320"/>
      <c r="U324" s="320"/>
      <c r="V324" s="320"/>
      <c r="W324" s="320"/>
      <c r="X324" s="320"/>
      <c r="Y324" s="320"/>
      <c r="Z324" s="320"/>
    </row>
    <row r="325" spans="1:26" ht="20.25" customHeight="1" x14ac:dyDescent="0.35">
      <c r="A325" s="60"/>
      <c r="B325" s="378" t="s">
        <v>620</v>
      </c>
      <c r="C325" s="375"/>
      <c r="D325" s="420"/>
      <c r="E325" s="420"/>
      <c r="F325" s="420"/>
      <c r="G325" s="420"/>
      <c r="H325" s="420"/>
      <c r="I325" s="420"/>
      <c r="J325" s="420"/>
      <c r="K325" s="420"/>
      <c r="L325" s="420"/>
      <c r="M325" s="420"/>
      <c r="N325" s="420"/>
      <c r="O325" s="420"/>
      <c r="P325" s="420"/>
      <c r="Q325" s="420">
        <f t="shared" ref="D325:S325" si="31">Q324+Q320+Q313</f>
        <v>0</v>
      </c>
      <c r="R325" s="420">
        <f t="shared" si="31"/>
        <v>0</v>
      </c>
      <c r="S325" s="420">
        <f t="shared" si="31"/>
        <v>0</v>
      </c>
      <c r="T325" s="320"/>
      <c r="U325" s="320"/>
      <c r="V325" s="320"/>
      <c r="W325" s="320"/>
      <c r="X325" s="320"/>
      <c r="Y325" s="320"/>
      <c r="Z325" s="320"/>
    </row>
    <row r="326" spans="1:26" ht="14.25" customHeight="1" x14ac:dyDescent="0.35">
      <c r="A326" s="83"/>
      <c r="B326" s="47"/>
      <c r="C326" s="1"/>
      <c r="D326" s="1"/>
      <c r="E326" s="1"/>
      <c r="F326" s="1"/>
      <c r="G326" s="1"/>
      <c r="H326" s="1"/>
      <c r="I326" s="1"/>
      <c r="J326" s="1"/>
      <c r="K326" s="32"/>
      <c r="L326" s="32"/>
      <c r="M326" s="32"/>
      <c r="N326" s="32"/>
      <c r="O326" s="32"/>
      <c r="P326" s="32"/>
      <c r="Q326" s="93"/>
      <c r="R326" s="95">
        <f>J326+K326+L326+M326+N326+O326+P326+Q326</f>
        <v>0</v>
      </c>
      <c r="S326" s="97">
        <f t="shared" ref="S326:S341" si="32">D326-R326</f>
        <v>0</v>
      </c>
      <c r="T326" s="27"/>
      <c r="U326" s="27"/>
      <c r="V326" s="27"/>
      <c r="W326" s="27"/>
      <c r="X326" s="27"/>
      <c r="Y326" s="27"/>
      <c r="Z326" s="27"/>
    </row>
    <row r="327" spans="1:26" ht="14.25" customHeight="1" x14ac:dyDescent="0.35">
      <c r="A327" s="83"/>
      <c r="B327" s="381" t="s">
        <v>1279</v>
      </c>
      <c r="C327" s="382"/>
      <c r="D327" s="382"/>
      <c r="E327" s="382"/>
      <c r="F327" s="382"/>
      <c r="G327" s="382"/>
      <c r="H327" s="382"/>
      <c r="I327" s="382"/>
      <c r="J327" s="382"/>
      <c r="K327" s="388"/>
      <c r="L327" s="388"/>
      <c r="M327" s="388"/>
      <c r="N327" s="388"/>
      <c r="O327" s="388"/>
      <c r="P327" s="388"/>
      <c r="Q327" s="390"/>
      <c r="R327" s="95"/>
      <c r="S327" s="97">
        <f t="shared" si="32"/>
        <v>0</v>
      </c>
      <c r="T327" s="27"/>
      <c r="U327" s="27"/>
      <c r="V327" s="27"/>
      <c r="W327" s="27"/>
      <c r="X327" s="27"/>
      <c r="Y327" s="27"/>
      <c r="Z327" s="27"/>
    </row>
    <row r="328" spans="1:26" ht="14.25" customHeight="1" x14ac:dyDescent="0.35">
      <c r="A328" s="83"/>
      <c r="B328" s="112" t="s">
        <v>1051</v>
      </c>
      <c r="C328" s="33"/>
      <c r="D328" s="136"/>
      <c r="E328" s="136"/>
      <c r="F328" s="136"/>
      <c r="G328" s="86"/>
      <c r="H328" s="136"/>
      <c r="I328" s="86"/>
      <c r="J328" s="136"/>
      <c r="K328" s="32"/>
      <c r="L328" s="32"/>
      <c r="M328" s="32"/>
      <c r="N328" s="32"/>
      <c r="O328" s="32"/>
      <c r="P328" s="32"/>
      <c r="Q328" s="93"/>
      <c r="R328" s="95">
        <f t="shared" ref="R328:R374" si="33">J328+K328+L328+M328+N328+O328+P328+Q328</f>
        <v>0</v>
      </c>
      <c r="S328" s="97">
        <f t="shared" si="32"/>
        <v>0</v>
      </c>
      <c r="T328" s="27"/>
      <c r="U328" s="27"/>
      <c r="V328" s="27"/>
      <c r="W328" s="27"/>
      <c r="X328" s="27"/>
      <c r="Y328" s="27"/>
      <c r="Z328" s="27"/>
    </row>
    <row r="329" spans="1:26" ht="14.25" customHeight="1" x14ac:dyDescent="0.35">
      <c r="A329" s="83"/>
      <c r="B329" s="112" t="s">
        <v>943</v>
      </c>
      <c r="C329" s="33" t="s">
        <v>1285</v>
      </c>
      <c r="D329" s="136"/>
      <c r="E329" s="136"/>
      <c r="F329" s="136"/>
      <c r="G329" s="86"/>
      <c r="H329" s="136"/>
      <c r="I329" s="84"/>
      <c r="J329" s="425"/>
      <c r="K329" s="119"/>
      <c r="L329" s="119"/>
      <c r="M329" s="119"/>
      <c r="N329" s="119"/>
      <c r="O329" s="119"/>
      <c r="P329" s="119"/>
      <c r="Q329" s="93"/>
      <c r="R329" s="95">
        <f t="shared" si="33"/>
        <v>0</v>
      </c>
      <c r="S329" s="97">
        <f t="shared" si="32"/>
        <v>0</v>
      </c>
      <c r="T329" s="27"/>
      <c r="U329" s="27"/>
      <c r="V329" s="27"/>
      <c r="W329" s="27"/>
      <c r="X329" s="27"/>
      <c r="Y329" s="27"/>
      <c r="Z329" s="27"/>
    </row>
    <row r="330" spans="1:26" ht="14.25" customHeight="1" x14ac:dyDescent="0.35">
      <c r="A330" s="83"/>
      <c r="B330" s="47" t="s">
        <v>1447</v>
      </c>
      <c r="C330" s="105" t="s">
        <v>1448</v>
      </c>
      <c r="D330" s="105"/>
      <c r="E330" s="86"/>
      <c r="F330" s="87"/>
      <c r="G330" s="86"/>
      <c r="H330" s="86"/>
      <c r="I330" s="84"/>
      <c r="J330" s="105"/>
      <c r="K330" s="32"/>
      <c r="L330" s="32"/>
      <c r="M330" s="32"/>
      <c r="N330" s="32"/>
      <c r="O330" s="32"/>
      <c r="P330" s="32"/>
      <c r="Q330" s="93"/>
      <c r="R330" s="95">
        <f t="shared" si="33"/>
        <v>0</v>
      </c>
      <c r="S330" s="97">
        <f t="shared" si="32"/>
        <v>0</v>
      </c>
      <c r="T330" s="27"/>
      <c r="U330" s="27"/>
      <c r="V330" s="27"/>
      <c r="W330" s="27"/>
      <c r="X330" s="27"/>
      <c r="Y330" s="27"/>
      <c r="Z330" s="27"/>
    </row>
    <row r="331" spans="1:26" ht="14.25" customHeight="1" x14ac:dyDescent="0.35">
      <c r="A331" s="83"/>
      <c r="B331" s="47" t="s">
        <v>956</v>
      </c>
      <c r="C331" s="1" t="s">
        <v>1449</v>
      </c>
      <c r="D331" s="84"/>
      <c r="E331" s="86"/>
      <c r="F331" s="105"/>
      <c r="G331" s="86"/>
      <c r="H331" s="86"/>
      <c r="I331" s="84"/>
      <c r="J331" s="398"/>
      <c r="K331" s="119"/>
      <c r="L331" s="119"/>
      <c r="M331" s="119"/>
      <c r="N331" s="119"/>
      <c r="O331" s="119"/>
      <c r="P331" s="119"/>
      <c r="Q331" s="93"/>
      <c r="R331" s="95">
        <f t="shared" si="33"/>
        <v>0</v>
      </c>
      <c r="S331" s="97">
        <f t="shared" si="32"/>
        <v>0</v>
      </c>
      <c r="T331" s="27"/>
      <c r="U331" s="27"/>
      <c r="V331" s="27"/>
      <c r="W331" s="27"/>
      <c r="X331" s="27"/>
      <c r="Y331" s="27"/>
      <c r="Z331" s="27"/>
    </row>
    <row r="332" spans="1:26" ht="14.25" customHeight="1" x14ac:dyDescent="0.35">
      <c r="A332" s="83"/>
      <c r="B332" s="47" t="s">
        <v>1450</v>
      </c>
      <c r="C332" s="105" t="s">
        <v>1448</v>
      </c>
      <c r="D332" s="86"/>
      <c r="E332" s="86"/>
      <c r="F332" s="87"/>
      <c r="G332" s="86"/>
      <c r="H332" s="86"/>
      <c r="I332" s="84"/>
      <c r="J332" s="86"/>
      <c r="K332" s="32"/>
      <c r="L332" s="32"/>
      <c r="M332" s="32"/>
      <c r="N332" s="32"/>
      <c r="O332" s="32"/>
      <c r="P332" s="32"/>
      <c r="Q332" s="93"/>
      <c r="R332" s="95">
        <f t="shared" si="33"/>
        <v>0</v>
      </c>
      <c r="S332" s="97">
        <f t="shared" si="32"/>
        <v>0</v>
      </c>
      <c r="T332" s="27"/>
      <c r="U332" s="27"/>
      <c r="V332" s="27"/>
      <c r="W332" s="27"/>
      <c r="X332" s="27"/>
      <c r="Y332" s="27"/>
      <c r="Z332" s="27"/>
    </row>
    <row r="333" spans="1:26" ht="14.25" customHeight="1" x14ac:dyDescent="0.35">
      <c r="A333" s="83"/>
      <c r="B333" s="47" t="s">
        <v>1021</v>
      </c>
      <c r="C333" s="33"/>
      <c r="D333" s="136"/>
      <c r="E333" s="136"/>
      <c r="F333" s="136"/>
      <c r="G333" s="86"/>
      <c r="H333" s="136"/>
      <c r="I333" s="86"/>
      <c r="J333" s="425"/>
      <c r="K333" s="119"/>
      <c r="L333" s="119"/>
      <c r="M333" s="119"/>
      <c r="N333" s="119"/>
      <c r="O333" s="119"/>
      <c r="P333" s="119"/>
      <c r="Q333" s="93"/>
      <c r="R333" s="95">
        <f t="shared" si="33"/>
        <v>0</v>
      </c>
      <c r="S333" s="97">
        <f t="shared" si="32"/>
        <v>0</v>
      </c>
      <c r="T333" s="27"/>
      <c r="U333" s="27"/>
      <c r="V333" s="27"/>
      <c r="W333" s="27"/>
      <c r="X333" s="27"/>
      <c r="Y333" s="27"/>
      <c r="Z333" s="27"/>
    </row>
    <row r="334" spans="1:26" ht="14.25" customHeight="1" x14ac:dyDescent="0.35">
      <c r="A334" s="83"/>
      <c r="B334" s="47" t="s">
        <v>965</v>
      </c>
      <c r="C334" s="1" t="s">
        <v>1448</v>
      </c>
      <c r="D334" s="84"/>
      <c r="E334" s="86"/>
      <c r="F334" s="105"/>
      <c r="G334" s="86"/>
      <c r="H334" s="86"/>
      <c r="I334" s="84"/>
      <c r="J334" s="398"/>
      <c r="K334" s="119"/>
      <c r="L334" s="119"/>
      <c r="M334" s="119"/>
      <c r="N334" s="119"/>
      <c r="O334" s="119"/>
      <c r="P334" s="119"/>
      <c r="Q334" s="93"/>
      <c r="R334" s="95">
        <f t="shared" si="33"/>
        <v>0</v>
      </c>
      <c r="S334" s="97">
        <f t="shared" si="32"/>
        <v>0</v>
      </c>
      <c r="T334" s="27"/>
      <c r="U334" s="27"/>
      <c r="V334" s="27"/>
      <c r="W334" s="27"/>
      <c r="X334" s="27"/>
      <c r="Y334" s="27"/>
      <c r="Z334" s="27"/>
    </row>
    <row r="335" spans="1:26" ht="14.25" customHeight="1" x14ac:dyDescent="0.35">
      <c r="A335" s="83"/>
      <c r="B335" s="47" t="s">
        <v>1001</v>
      </c>
      <c r="C335" s="33"/>
      <c r="D335" s="136"/>
      <c r="E335" s="136"/>
      <c r="F335" s="136"/>
      <c r="G335" s="86"/>
      <c r="H335" s="136"/>
      <c r="I335" s="86"/>
      <c r="J335" s="425"/>
      <c r="K335" s="119"/>
      <c r="L335" s="119"/>
      <c r="M335" s="119"/>
      <c r="N335" s="119"/>
      <c r="O335" s="119"/>
      <c r="P335" s="119"/>
      <c r="Q335" s="93"/>
      <c r="R335" s="95">
        <f t="shared" si="33"/>
        <v>0</v>
      </c>
      <c r="S335" s="97">
        <f t="shared" si="32"/>
        <v>0</v>
      </c>
      <c r="T335" s="27"/>
      <c r="U335" s="27"/>
      <c r="V335" s="27"/>
      <c r="W335" s="27"/>
      <c r="X335" s="27"/>
      <c r="Y335" s="27"/>
      <c r="Z335" s="27"/>
    </row>
    <row r="336" spans="1:26" ht="14.25" customHeight="1" x14ac:dyDescent="0.35">
      <c r="A336" s="83"/>
      <c r="B336" s="112" t="s">
        <v>992</v>
      </c>
      <c r="C336" s="33" t="s">
        <v>1285</v>
      </c>
      <c r="D336" s="136"/>
      <c r="E336" s="136"/>
      <c r="F336" s="136"/>
      <c r="G336" s="86"/>
      <c r="H336" s="136"/>
      <c r="I336" s="84"/>
      <c r="J336" s="425"/>
      <c r="K336" s="119"/>
      <c r="L336" s="119"/>
      <c r="M336" s="119"/>
      <c r="N336" s="119"/>
      <c r="O336" s="119"/>
      <c r="P336" s="119"/>
      <c r="Q336" s="93"/>
      <c r="R336" s="95">
        <f t="shared" si="33"/>
        <v>0</v>
      </c>
      <c r="S336" s="97">
        <f t="shared" si="32"/>
        <v>0</v>
      </c>
      <c r="T336" s="27"/>
      <c r="U336" s="27"/>
      <c r="V336" s="27"/>
      <c r="W336" s="27"/>
      <c r="X336" s="27"/>
      <c r="Y336" s="27"/>
      <c r="Z336" s="27"/>
    </row>
    <row r="337" spans="1:26" ht="14.25" customHeight="1" x14ac:dyDescent="0.35">
      <c r="A337" s="83"/>
      <c r="B337" s="47" t="s">
        <v>1516</v>
      </c>
      <c r="C337" s="33"/>
      <c r="D337" s="136"/>
      <c r="E337" s="136"/>
      <c r="F337" s="136"/>
      <c r="G337" s="86"/>
      <c r="H337" s="136"/>
      <c r="I337" s="86"/>
      <c r="J337" s="425"/>
      <c r="K337" s="119"/>
      <c r="L337" s="119"/>
      <c r="M337" s="119"/>
      <c r="N337" s="119"/>
      <c r="O337" s="119"/>
      <c r="P337" s="119"/>
      <c r="Q337" s="93"/>
      <c r="R337" s="95">
        <f t="shared" si="33"/>
        <v>0</v>
      </c>
      <c r="S337" s="97">
        <f t="shared" si="32"/>
        <v>0</v>
      </c>
      <c r="T337" s="27"/>
      <c r="U337" s="27"/>
      <c r="V337" s="27"/>
      <c r="W337" s="27"/>
      <c r="X337" s="27"/>
      <c r="Y337" s="27"/>
      <c r="Z337" s="27"/>
    </row>
    <row r="338" spans="1:26" ht="14.25" customHeight="1" x14ac:dyDescent="0.35">
      <c r="A338" s="83"/>
      <c r="B338" s="47" t="s">
        <v>925</v>
      </c>
      <c r="C338" s="105" t="s">
        <v>458</v>
      </c>
      <c r="D338" s="86"/>
      <c r="E338" s="86"/>
      <c r="F338" s="87"/>
      <c r="G338" s="86"/>
      <c r="H338" s="86"/>
      <c r="I338" s="84"/>
      <c r="J338" s="86"/>
      <c r="K338" s="32"/>
      <c r="L338" s="32"/>
      <c r="M338" s="32"/>
      <c r="N338" s="32"/>
      <c r="O338" s="32"/>
      <c r="P338" s="32"/>
      <c r="Q338" s="93"/>
      <c r="R338" s="95">
        <f t="shared" si="33"/>
        <v>0</v>
      </c>
      <c r="S338" s="97">
        <f t="shared" si="32"/>
        <v>0</v>
      </c>
      <c r="T338" s="27"/>
      <c r="U338" s="27"/>
      <c r="V338" s="27"/>
      <c r="W338" s="27"/>
      <c r="X338" s="27"/>
      <c r="Y338" s="27"/>
      <c r="Z338" s="27"/>
    </row>
    <row r="339" spans="1:26" ht="14.25" customHeight="1" x14ac:dyDescent="0.35">
      <c r="A339" s="83"/>
      <c r="B339" s="112" t="s">
        <v>935</v>
      </c>
      <c r="C339" s="33" t="s">
        <v>1285</v>
      </c>
      <c r="D339" s="136"/>
      <c r="E339" s="136"/>
      <c r="F339" s="136"/>
      <c r="G339" s="86"/>
      <c r="H339" s="136"/>
      <c r="I339" s="84"/>
      <c r="J339" s="425"/>
      <c r="K339" s="119"/>
      <c r="L339" s="119"/>
      <c r="M339" s="119"/>
      <c r="N339" s="119"/>
      <c r="O339" s="119"/>
      <c r="P339" s="119"/>
      <c r="Q339" s="93"/>
      <c r="R339" s="95">
        <f t="shared" si="33"/>
        <v>0</v>
      </c>
      <c r="S339" s="97">
        <f t="shared" si="32"/>
        <v>0</v>
      </c>
      <c r="T339" s="27"/>
      <c r="U339" s="27"/>
      <c r="V339" s="27"/>
      <c r="W339" s="27"/>
      <c r="X339" s="27"/>
      <c r="Y339" s="27"/>
      <c r="Z339" s="27"/>
    </row>
    <row r="340" spans="1:26" ht="14.25" customHeight="1" x14ac:dyDescent="0.35">
      <c r="A340" s="83"/>
      <c r="B340" s="47" t="s">
        <v>1461</v>
      </c>
      <c r="C340" s="1"/>
      <c r="D340" s="84"/>
      <c r="E340" s="86"/>
      <c r="F340" s="87"/>
      <c r="G340" s="86"/>
      <c r="H340" s="86"/>
      <c r="I340" s="84"/>
      <c r="J340" s="398"/>
      <c r="K340" s="119"/>
      <c r="L340" s="119"/>
      <c r="M340" s="119"/>
      <c r="N340" s="119"/>
      <c r="O340" s="119"/>
      <c r="P340" s="119"/>
      <c r="Q340" s="93"/>
      <c r="R340" s="95">
        <f t="shared" si="33"/>
        <v>0</v>
      </c>
      <c r="S340" s="97">
        <f t="shared" si="32"/>
        <v>0</v>
      </c>
      <c r="T340" s="27"/>
      <c r="U340" s="27"/>
      <c r="V340" s="27"/>
      <c r="W340" s="27"/>
      <c r="X340" s="27"/>
      <c r="Y340" s="27"/>
      <c r="Z340" s="27"/>
    </row>
    <row r="341" spans="1:26" ht="14.25" customHeight="1" x14ac:dyDescent="0.35">
      <c r="A341" s="83"/>
      <c r="B341" s="1" t="s">
        <v>1043</v>
      </c>
      <c r="C341" s="1"/>
      <c r="D341" s="84"/>
      <c r="E341" s="86"/>
      <c r="F341" s="87"/>
      <c r="G341" s="86"/>
      <c r="H341" s="86"/>
      <c r="I341" s="84"/>
      <c r="J341" s="398"/>
      <c r="K341" s="119"/>
      <c r="L341" s="119"/>
      <c r="M341" s="119"/>
      <c r="N341" s="119"/>
      <c r="O341" s="119"/>
      <c r="P341" s="119"/>
      <c r="Q341" s="93"/>
      <c r="R341" s="95">
        <f t="shared" si="33"/>
        <v>0</v>
      </c>
      <c r="S341" s="97">
        <f t="shared" si="32"/>
        <v>0</v>
      </c>
      <c r="T341" s="27"/>
      <c r="U341" s="27"/>
      <c r="V341" s="27"/>
      <c r="W341" s="27"/>
      <c r="X341" s="27"/>
      <c r="Y341" s="27"/>
      <c r="Z341" s="27"/>
    </row>
    <row r="342" spans="1:26" ht="14.25" customHeight="1" x14ac:dyDescent="0.35">
      <c r="A342" s="83"/>
      <c r="B342" s="433" t="s">
        <v>1464</v>
      </c>
      <c r="C342" s="1"/>
      <c r="D342" s="84"/>
      <c r="E342" s="86"/>
      <c r="F342" s="87"/>
      <c r="G342" s="86"/>
      <c r="H342" s="86"/>
      <c r="I342" s="84"/>
      <c r="J342" s="398"/>
      <c r="K342" s="119"/>
      <c r="L342" s="119"/>
      <c r="M342" s="119"/>
      <c r="N342" s="119"/>
      <c r="O342" s="119"/>
      <c r="P342" s="119"/>
      <c r="Q342" s="93"/>
      <c r="R342" s="95">
        <f t="shared" si="33"/>
        <v>0</v>
      </c>
      <c r="S342" s="97"/>
      <c r="T342" s="27"/>
      <c r="U342" s="27"/>
      <c r="V342" s="27"/>
      <c r="W342" s="27"/>
      <c r="X342" s="27"/>
      <c r="Y342" s="27"/>
      <c r="Z342" s="27"/>
    </row>
    <row r="343" spans="1:26" ht="14.25" customHeight="1" x14ac:dyDescent="0.35">
      <c r="A343" s="83"/>
      <c r="B343" s="47" t="s">
        <v>1520</v>
      </c>
      <c r="C343" s="1"/>
      <c r="D343" s="84"/>
      <c r="E343" s="86"/>
      <c r="F343" s="87"/>
      <c r="G343" s="86"/>
      <c r="H343" s="86"/>
      <c r="I343" s="84"/>
      <c r="J343" s="398"/>
      <c r="K343" s="119"/>
      <c r="L343" s="119"/>
      <c r="M343" s="119"/>
      <c r="N343" s="119"/>
      <c r="O343" s="119"/>
      <c r="P343" s="119"/>
      <c r="Q343" s="93"/>
      <c r="R343" s="95">
        <f t="shared" si="33"/>
        <v>0</v>
      </c>
      <c r="S343" s="97">
        <f t="shared" ref="S343:S358" si="34">D343-R343</f>
        <v>0</v>
      </c>
      <c r="T343" s="27"/>
      <c r="U343" s="27"/>
      <c r="V343" s="27"/>
      <c r="W343" s="27"/>
      <c r="X343" s="27"/>
      <c r="Y343" s="27"/>
      <c r="Z343" s="27"/>
    </row>
    <row r="344" spans="1:26" ht="14.25" customHeight="1" x14ac:dyDescent="0.35">
      <c r="A344" s="83"/>
      <c r="B344" s="112" t="s">
        <v>970</v>
      </c>
      <c r="C344" s="33" t="s">
        <v>1285</v>
      </c>
      <c r="D344" s="136"/>
      <c r="E344" s="136"/>
      <c r="F344" s="136"/>
      <c r="G344" s="86"/>
      <c r="H344" s="136"/>
      <c r="I344" s="84"/>
      <c r="J344" s="425"/>
      <c r="K344" s="119"/>
      <c r="L344" s="119"/>
      <c r="M344" s="119"/>
      <c r="N344" s="119"/>
      <c r="O344" s="119"/>
      <c r="P344" s="119"/>
      <c r="Q344" s="93"/>
      <c r="R344" s="95">
        <f t="shared" si="33"/>
        <v>0</v>
      </c>
      <c r="S344" s="97">
        <f t="shared" si="34"/>
        <v>0</v>
      </c>
      <c r="T344" s="27"/>
      <c r="U344" s="27"/>
      <c r="V344" s="27"/>
      <c r="W344" s="27"/>
      <c r="X344" s="27"/>
      <c r="Y344" s="27"/>
      <c r="Z344" s="27"/>
    </row>
    <row r="345" spans="1:26" ht="14.25" customHeight="1" x14ac:dyDescent="0.35">
      <c r="A345" s="83"/>
      <c r="B345" s="47" t="s">
        <v>1034</v>
      </c>
      <c r="C345" s="33"/>
      <c r="D345" s="136"/>
      <c r="E345" s="136"/>
      <c r="F345" s="136"/>
      <c r="G345" s="86"/>
      <c r="H345" s="136"/>
      <c r="I345" s="86"/>
      <c r="J345" s="425"/>
      <c r="K345" s="119"/>
      <c r="L345" s="119"/>
      <c r="M345" s="119"/>
      <c r="N345" s="119"/>
      <c r="O345" s="119"/>
      <c r="P345" s="119"/>
      <c r="Q345" s="93"/>
      <c r="R345" s="95">
        <f t="shared" si="33"/>
        <v>0</v>
      </c>
      <c r="S345" s="97">
        <f t="shared" si="34"/>
        <v>0</v>
      </c>
      <c r="T345" s="27"/>
      <c r="U345" s="27"/>
      <c r="V345" s="27"/>
      <c r="W345" s="27"/>
      <c r="X345" s="27"/>
      <c r="Y345" s="27"/>
      <c r="Z345" s="27"/>
    </row>
    <row r="346" spans="1:26" ht="14.25" customHeight="1" x14ac:dyDescent="0.35">
      <c r="A346" s="83"/>
      <c r="B346" s="47" t="s">
        <v>954</v>
      </c>
      <c r="C346" s="105" t="s">
        <v>1448</v>
      </c>
      <c r="D346" s="86"/>
      <c r="E346" s="86"/>
      <c r="F346" s="87"/>
      <c r="G346" s="86"/>
      <c r="H346" s="86"/>
      <c r="I346" s="84"/>
      <c r="J346" s="398"/>
      <c r="K346" s="119"/>
      <c r="L346" s="119"/>
      <c r="M346" s="119"/>
      <c r="N346" s="119"/>
      <c r="O346" s="119"/>
      <c r="P346" s="119"/>
      <c r="Q346" s="93"/>
      <c r="R346" s="95">
        <f t="shared" si="33"/>
        <v>0</v>
      </c>
      <c r="S346" s="97">
        <f t="shared" si="34"/>
        <v>0</v>
      </c>
      <c r="T346" s="27"/>
      <c r="U346" s="27"/>
      <c r="V346" s="27"/>
      <c r="W346" s="27"/>
      <c r="X346" s="27"/>
      <c r="Y346" s="27"/>
      <c r="Z346" s="27"/>
    </row>
    <row r="347" spans="1:26" ht="14.25" customHeight="1" x14ac:dyDescent="0.35">
      <c r="A347" s="83"/>
      <c r="B347" s="47" t="s">
        <v>924</v>
      </c>
      <c r="C347" s="1" t="s">
        <v>458</v>
      </c>
      <c r="D347" s="84"/>
      <c r="E347" s="86"/>
      <c r="F347" s="87"/>
      <c r="G347" s="86"/>
      <c r="H347" s="86"/>
      <c r="I347" s="84"/>
      <c r="J347" s="437"/>
      <c r="K347" s="119"/>
      <c r="L347" s="119"/>
      <c r="M347" s="119"/>
      <c r="N347" s="119"/>
      <c r="O347" s="119"/>
      <c r="P347" s="119"/>
      <c r="Q347" s="93"/>
      <c r="R347" s="95">
        <f t="shared" si="33"/>
        <v>0</v>
      </c>
      <c r="S347" s="97">
        <f t="shared" si="34"/>
        <v>0</v>
      </c>
      <c r="T347" s="27"/>
      <c r="U347" s="27"/>
      <c r="V347" s="27"/>
      <c r="W347" s="27"/>
      <c r="X347" s="27"/>
      <c r="Y347" s="27"/>
      <c r="Z347" s="27"/>
    </row>
    <row r="348" spans="1:26" ht="14.25" customHeight="1" x14ac:dyDescent="0.35">
      <c r="A348" s="83"/>
      <c r="B348" s="47" t="s">
        <v>1480</v>
      </c>
      <c r="C348" s="1" t="s">
        <v>1481</v>
      </c>
      <c r="D348" s="84"/>
      <c r="E348" s="86"/>
      <c r="F348" s="87"/>
      <c r="G348" s="86"/>
      <c r="H348" s="86"/>
      <c r="I348" s="84"/>
      <c r="J348" s="437"/>
      <c r="K348" s="119"/>
      <c r="L348" s="119"/>
      <c r="M348" s="119"/>
      <c r="N348" s="119"/>
      <c r="O348" s="119"/>
      <c r="P348" s="119"/>
      <c r="Q348" s="93"/>
      <c r="R348" s="95">
        <f t="shared" si="33"/>
        <v>0</v>
      </c>
      <c r="S348" s="97">
        <f t="shared" si="34"/>
        <v>0</v>
      </c>
      <c r="T348" s="27"/>
      <c r="U348" s="27"/>
      <c r="V348" s="27"/>
      <c r="W348" s="27"/>
      <c r="X348" s="27"/>
      <c r="Y348" s="27"/>
      <c r="Z348" s="27"/>
    </row>
    <row r="349" spans="1:26" ht="14.25" customHeight="1" x14ac:dyDescent="0.35">
      <c r="A349" s="83"/>
      <c r="B349" s="47" t="s">
        <v>1482</v>
      </c>
      <c r="C349" s="105" t="s">
        <v>1448</v>
      </c>
      <c r="D349" s="86"/>
      <c r="E349" s="136"/>
      <c r="F349" s="86"/>
      <c r="G349" s="86"/>
      <c r="H349" s="86"/>
      <c r="I349" s="84"/>
      <c r="J349" s="398"/>
      <c r="K349" s="119"/>
      <c r="L349" s="119"/>
      <c r="M349" s="119"/>
      <c r="N349" s="119"/>
      <c r="O349" s="119"/>
      <c r="P349" s="119"/>
      <c r="Q349" s="93"/>
      <c r="R349" s="95">
        <f t="shared" si="33"/>
        <v>0</v>
      </c>
      <c r="S349" s="97">
        <f t="shared" si="34"/>
        <v>0</v>
      </c>
      <c r="T349" s="27"/>
      <c r="U349" s="27"/>
      <c r="V349" s="27"/>
      <c r="W349" s="27"/>
      <c r="X349" s="27"/>
      <c r="Y349" s="27"/>
      <c r="Z349" s="27"/>
    </row>
    <row r="350" spans="1:26" ht="14.25" customHeight="1" x14ac:dyDescent="0.35">
      <c r="A350" s="83"/>
      <c r="B350" s="47" t="s">
        <v>949</v>
      </c>
      <c r="C350" s="1" t="s">
        <v>1483</v>
      </c>
      <c r="D350" s="84"/>
      <c r="E350" s="136"/>
      <c r="F350" s="86"/>
      <c r="G350" s="86"/>
      <c r="H350" s="86"/>
      <c r="I350" s="84"/>
      <c r="J350" s="108"/>
      <c r="K350" s="32"/>
      <c r="L350" s="32"/>
      <c r="M350" s="32"/>
      <c r="N350" s="32"/>
      <c r="O350" s="32"/>
      <c r="P350" s="32"/>
      <c r="Q350" s="93"/>
      <c r="R350" s="95">
        <f t="shared" si="33"/>
        <v>0</v>
      </c>
      <c r="S350" s="97">
        <f t="shared" si="34"/>
        <v>0</v>
      </c>
      <c r="T350" s="27"/>
      <c r="U350" s="27"/>
      <c r="V350" s="27"/>
      <c r="W350" s="27"/>
      <c r="X350" s="27"/>
      <c r="Y350" s="27"/>
      <c r="Z350" s="27"/>
    </row>
    <row r="351" spans="1:26" ht="14.25" customHeight="1" x14ac:dyDescent="0.35">
      <c r="A351" s="83"/>
      <c r="B351" s="47" t="s">
        <v>1525</v>
      </c>
      <c r="C351" s="33"/>
      <c r="D351" s="136"/>
      <c r="E351" s="136"/>
      <c r="F351" s="136"/>
      <c r="G351" s="86"/>
      <c r="H351" s="136"/>
      <c r="I351" s="86"/>
      <c r="J351" s="425"/>
      <c r="K351" s="119"/>
      <c r="L351" s="119"/>
      <c r="M351" s="119"/>
      <c r="N351" s="119"/>
      <c r="O351" s="119"/>
      <c r="P351" s="119"/>
      <c r="Q351" s="93"/>
      <c r="R351" s="95">
        <f t="shared" si="33"/>
        <v>0</v>
      </c>
      <c r="S351" s="97">
        <f t="shared" si="34"/>
        <v>0</v>
      </c>
      <c r="T351" s="27"/>
      <c r="U351" s="27"/>
      <c r="V351" s="27"/>
      <c r="W351" s="27"/>
      <c r="X351" s="27"/>
      <c r="Y351" s="27"/>
      <c r="Z351" s="27"/>
    </row>
    <row r="352" spans="1:26" ht="14.25" customHeight="1" x14ac:dyDescent="0.35">
      <c r="A352" s="83"/>
      <c r="B352" s="47" t="s">
        <v>1488</v>
      </c>
      <c r="C352" s="1" t="s">
        <v>1485</v>
      </c>
      <c r="D352" s="84"/>
      <c r="E352" s="86"/>
      <c r="F352" s="87"/>
      <c r="G352" s="86"/>
      <c r="H352" s="86"/>
      <c r="I352" s="84"/>
      <c r="J352" s="398"/>
      <c r="K352" s="119"/>
      <c r="L352" s="119"/>
      <c r="M352" s="119"/>
      <c r="N352" s="119"/>
      <c r="O352" s="119"/>
      <c r="P352" s="119"/>
      <c r="Q352" s="93"/>
      <c r="R352" s="95">
        <f t="shared" si="33"/>
        <v>0</v>
      </c>
      <c r="S352" s="97">
        <f t="shared" si="34"/>
        <v>0</v>
      </c>
      <c r="T352" s="27"/>
      <c r="U352" s="27"/>
      <c r="V352" s="27"/>
      <c r="W352" s="27"/>
      <c r="X352" s="27"/>
      <c r="Y352" s="27"/>
      <c r="Z352" s="27"/>
    </row>
    <row r="353" spans="1:26" ht="14.25" customHeight="1" x14ac:dyDescent="0.35">
      <c r="A353" s="83"/>
      <c r="B353" s="47" t="s">
        <v>1490</v>
      </c>
      <c r="C353" s="1"/>
      <c r="D353" s="84"/>
      <c r="E353" s="86"/>
      <c r="F353" s="87"/>
      <c r="G353" s="86"/>
      <c r="H353" s="86"/>
      <c r="I353" s="84"/>
      <c r="J353" s="398"/>
      <c r="K353" s="119"/>
      <c r="L353" s="119"/>
      <c r="M353" s="119"/>
      <c r="N353" s="119"/>
      <c r="O353" s="119"/>
      <c r="P353" s="119"/>
      <c r="Q353" s="93"/>
      <c r="R353" s="95">
        <f t="shared" si="33"/>
        <v>0</v>
      </c>
      <c r="S353" s="97">
        <f t="shared" si="34"/>
        <v>0</v>
      </c>
      <c r="T353" s="27"/>
      <c r="U353" s="27"/>
      <c r="V353" s="27"/>
      <c r="W353" s="27"/>
      <c r="X353" s="27"/>
      <c r="Y353" s="27"/>
      <c r="Z353" s="27"/>
    </row>
    <row r="354" spans="1:26" ht="14.25" customHeight="1" x14ac:dyDescent="0.35">
      <c r="A354" s="83"/>
      <c r="B354" s="47" t="s">
        <v>1015</v>
      </c>
      <c r="C354" s="33"/>
      <c r="D354" s="136"/>
      <c r="E354" s="136"/>
      <c r="F354" s="136"/>
      <c r="G354" s="86"/>
      <c r="H354" s="136"/>
      <c r="I354" s="86"/>
      <c r="J354" s="425"/>
      <c r="K354" s="119"/>
      <c r="L354" s="119"/>
      <c r="M354" s="119"/>
      <c r="N354" s="119"/>
      <c r="O354" s="119"/>
      <c r="P354" s="119"/>
      <c r="Q354" s="93"/>
      <c r="R354" s="95">
        <f t="shared" si="33"/>
        <v>0</v>
      </c>
      <c r="S354" s="97">
        <f t="shared" si="34"/>
        <v>0</v>
      </c>
      <c r="T354" s="27"/>
      <c r="U354" s="27"/>
      <c r="V354" s="27"/>
      <c r="W354" s="27"/>
      <c r="X354" s="27"/>
      <c r="Y354" s="27"/>
      <c r="Z354" s="27"/>
    </row>
    <row r="355" spans="1:26" ht="14.25" customHeight="1" x14ac:dyDescent="0.35">
      <c r="A355" s="83"/>
      <c r="B355" s="47" t="s">
        <v>1027</v>
      </c>
      <c r="C355" s="33"/>
      <c r="D355" s="136"/>
      <c r="E355" s="136"/>
      <c r="F355" s="136"/>
      <c r="G355" s="86"/>
      <c r="H355" s="136"/>
      <c r="I355" s="86"/>
      <c r="J355" s="425"/>
      <c r="K355" s="119"/>
      <c r="L355" s="119"/>
      <c r="M355" s="119"/>
      <c r="N355" s="119"/>
      <c r="O355" s="119"/>
      <c r="P355" s="119"/>
      <c r="Q355" s="93"/>
      <c r="R355" s="95">
        <f t="shared" si="33"/>
        <v>0</v>
      </c>
      <c r="S355" s="97">
        <f t="shared" si="34"/>
        <v>0</v>
      </c>
      <c r="T355" s="27"/>
      <c r="U355" s="27"/>
      <c r="V355" s="27"/>
      <c r="W355" s="27"/>
      <c r="X355" s="27"/>
      <c r="Y355" s="27"/>
      <c r="Z355" s="27"/>
    </row>
    <row r="356" spans="1:26" ht="14.25" customHeight="1" x14ac:dyDescent="0.35">
      <c r="A356" s="83"/>
      <c r="B356" s="47" t="s">
        <v>1018</v>
      </c>
      <c r="C356" s="33"/>
      <c r="D356" s="136"/>
      <c r="E356" s="136"/>
      <c r="F356" s="136"/>
      <c r="G356" s="86"/>
      <c r="H356" s="136"/>
      <c r="I356" s="86"/>
      <c r="J356" s="425"/>
      <c r="K356" s="119"/>
      <c r="L356" s="119"/>
      <c r="M356" s="119"/>
      <c r="N356" s="119"/>
      <c r="O356" s="119"/>
      <c r="P356" s="119"/>
      <c r="Q356" s="93"/>
      <c r="R356" s="95">
        <f t="shared" si="33"/>
        <v>0</v>
      </c>
      <c r="S356" s="97">
        <f t="shared" si="34"/>
        <v>0</v>
      </c>
      <c r="T356" s="27"/>
      <c r="U356" s="27"/>
      <c r="V356" s="27"/>
      <c r="W356" s="27"/>
      <c r="X356" s="27"/>
      <c r="Y356" s="27"/>
      <c r="Z356" s="27"/>
    </row>
    <row r="357" spans="1:26" ht="14.25" customHeight="1" x14ac:dyDescent="0.35">
      <c r="A357" s="83"/>
      <c r="B357" s="47" t="s">
        <v>1496</v>
      </c>
      <c r="C357" s="33"/>
      <c r="D357" s="136"/>
      <c r="E357" s="136"/>
      <c r="F357" s="136"/>
      <c r="G357" s="86"/>
      <c r="H357" s="136"/>
      <c r="I357" s="86"/>
      <c r="J357" s="425"/>
      <c r="K357" s="119"/>
      <c r="L357" s="119"/>
      <c r="M357" s="119"/>
      <c r="N357" s="119"/>
      <c r="O357" s="119"/>
      <c r="P357" s="119"/>
      <c r="Q357" s="93"/>
      <c r="R357" s="95">
        <f t="shared" si="33"/>
        <v>0</v>
      </c>
      <c r="S357" s="97">
        <f t="shared" si="34"/>
        <v>0</v>
      </c>
      <c r="T357" s="27"/>
      <c r="U357" s="27"/>
      <c r="V357" s="27"/>
      <c r="W357" s="27"/>
      <c r="X357" s="27"/>
      <c r="Y357" s="27"/>
      <c r="Z357" s="27"/>
    </row>
    <row r="358" spans="1:26" ht="14.25" customHeight="1" x14ac:dyDescent="0.35">
      <c r="A358" s="83"/>
      <c r="B358" s="47" t="s">
        <v>959</v>
      </c>
      <c r="C358" s="105" t="s">
        <v>1448</v>
      </c>
      <c r="D358" s="86"/>
      <c r="E358" s="86"/>
      <c r="F358" s="87"/>
      <c r="G358" s="86"/>
      <c r="H358" s="86"/>
      <c r="I358" s="84"/>
      <c r="J358" s="86"/>
      <c r="K358" s="32"/>
      <c r="L358" s="32"/>
      <c r="M358" s="32"/>
      <c r="N358" s="32"/>
      <c r="O358" s="32"/>
      <c r="P358" s="32"/>
      <c r="Q358" s="93"/>
      <c r="R358" s="95">
        <f t="shared" si="33"/>
        <v>0</v>
      </c>
      <c r="S358" s="97">
        <f t="shared" si="34"/>
        <v>0</v>
      </c>
      <c r="T358" s="27"/>
      <c r="U358" s="27"/>
      <c r="V358" s="27"/>
      <c r="W358" s="27"/>
      <c r="X358" s="27"/>
      <c r="Y358" s="27"/>
      <c r="Z358" s="27"/>
    </row>
    <row r="359" spans="1:26" ht="14.25" customHeight="1" x14ac:dyDescent="0.35">
      <c r="A359" s="83"/>
      <c r="B359" s="11" t="s">
        <v>1046</v>
      </c>
      <c r="C359" s="105"/>
      <c r="D359" s="86"/>
      <c r="E359" s="86"/>
      <c r="F359" s="87"/>
      <c r="G359" s="86"/>
      <c r="H359" s="86"/>
      <c r="I359" s="84"/>
      <c r="J359" s="398"/>
      <c r="K359" s="119"/>
      <c r="L359" s="119"/>
      <c r="M359" s="119"/>
      <c r="N359" s="119"/>
      <c r="O359" s="119"/>
      <c r="P359" s="119"/>
      <c r="Q359" s="93"/>
      <c r="R359" s="95">
        <f t="shared" si="33"/>
        <v>0</v>
      </c>
      <c r="S359" s="97"/>
      <c r="T359" s="27"/>
      <c r="U359" s="27"/>
      <c r="V359" s="27"/>
      <c r="W359" s="27"/>
      <c r="X359" s="27"/>
      <c r="Y359" s="27"/>
      <c r="Z359" s="27"/>
    </row>
    <row r="360" spans="1:26" ht="14.25" customHeight="1" x14ac:dyDescent="0.35">
      <c r="A360" s="83"/>
      <c r="B360" s="47" t="s">
        <v>1498</v>
      </c>
      <c r="C360" s="1" t="s">
        <v>1499</v>
      </c>
      <c r="D360" s="105"/>
      <c r="E360" s="86"/>
      <c r="F360" s="87"/>
      <c r="G360" s="86"/>
      <c r="H360" s="86"/>
      <c r="I360" s="84"/>
      <c r="J360" s="86"/>
      <c r="K360" s="32"/>
      <c r="L360" s="32"/>
      <c r="M360" s="32"/>
      <c r="N360" s="32"/>
      <c r="O360" s="32"/>
      <c r="P360" s="32"/>
      <c r="Q360" s="93"/>
      <c r="R360" s="95">
        <f t="shared" si="33"/>
        <v>0</v>
      </c>
      <c r="S360" s="97">
        <f t="shared" ref="S360:S366" si="35">D360-R360</f>
        <v>0</v>
      </c>
      <c r="T360" s="27"/>
      <c r="U360" s="27"/>
      <c r="V360" s="27"/>
      <c r="W360" s="27"/>
      <c r="X360" s="27"/>
      <c r="Y360" s="27"/>
      <c r="Z360" s="27"/>
    </row>
    <row r="361" spans="1:26" ht="14.25" customHeight="1" x14ac:dyDescent="0.35">
      <c r="A361" s="83"/>
      <c r="B361" s="112" t="s">
        <v>947</v>
      </c>
      <c r="C361" s="33" t="s">
        <v>1285</v>
      </c>
      <c r="D361" s="136"/>
      <c r="E361" s="136"/>
      <c r="F361" s="136"/>
      <c r="G361" s="86"/>
      <c r="H361" s="136"/>
      <c r="I361" s="84"/>
      <c r="J361" s="374"/>
      <c r="K361" s="32"/>
      <c r="L361" s="32"/>
      <c r="M361" s="32"/>
      <c r="N361" s="32"/>
      <c r="O361" s="32"/>
      <c r="P361" s="32"/>
      <c r="Q361" s="93"/>
      <c r="R361" s="95">
        <f t="shared" si="33"/>
        <v>0</v>
      </c>
      <c r="S361" s="97">
        <f t="shared" si="35"/>
        <v>0</v>
      </c>
      <c r="T361" s="27"/>
      <c r="U361" s="27"/>
      <c r="V361" s="27"/>
      <c r="W361" s="27"/>
      <c r="X361" s="27"/>
      <c r="Y361" s="27"/>
      <c r="Z361" s="27"/>
    </row>
    <row r="362" spans="1:26" ht="14.25" customHeight="1" x14ac:dyDescent="0.35">
      <c r="A362" s="83"/>
      <c r="B362" s="47" t="s">
        <v>1008</v>
      </c>
      <c r="C362" s="33"/>
      <c r="D362" s="136"/>
      <c r="E362" s="136"/>
      <c r="F362" s="136"/>
      <c r="G362" s="86"/>
      <c r="H362" s="136"/>
      <c r="I362" s="86"/>
      <c r="J362" s="374"/>
      <c r="K362" s="32"/>
      <c r="L362" s="32"/>
      <c r="M362" s="32"/>
      <c r="N362" s="32"/>
      <c r="O362" s="32"/>
      <c r="P362" s="32"/>
      <c r="Q362" s="93"/>
      <c r="R362" s="95">
        <f t="shared" si="33"/>
        <v>0</v>
      </c>
      <c r="S362" s="97">
        <f t="shared" si="35"/>
        <v>0</v>
      </c>
      <c r="T362" s="27"/>
      <c r="U362" s="27"/>
      <c r="V362" s="27"/>
      <c r="W362" s="27"/>
      <c r="X362" s="27"/>
      <c r="Y362" s="27"/>
      <c r="Z362" s="27"/>
    </row>
    <row r="363" spans="1:26" ht="14.25" customHeight="1" x14ac:dyDescent="0.35">
      <c r="A363" s="83"/>
      <c r="B363" s="47" t="s">
        <v>982</v>
      </c>
      <c r="C363" s="1" t="s">
        <v>1483</v>
      </c>
      <c r="D363" s="84"/>
      <c r="E363" s="86"/>
      <c r="F363" s="87"/>
      <c r="G363" s="86"/>
      <c r="H363" s="86"/>
      <c r="I363" s="84"/>
      <c r="J363" s="86"/>
      <c r="K363" s="32"/>
      <c r="L363" s="32"/>
      <c r="M363" s="32"/>
      <c r="N363" s="32"/>
      <c r="O363" s="32"/>
      <c r="P363" s="32"/>
      <c r="Q363" s="93"/>
      <c r="R363" s="95">
        <f t="shared" si="33"/>
        <v>0</v>
      </c>
      <c r="S363" s="97">
        <f t="shared" si="35"/>
        <v>0</v>
      </c>
      <c r="T363" s="27"/>
      <c r="U363" s="27"/>
      <c r="V363" s="27"/>
      <c r="W363" s="27"/>
      <c r="X363" s="27"/>
      <c r="Y363" s="27"/>
      <c r="Z363" s="27"/>
    </row>
    <row r="364" spans="1:26" ht="14.25" customHeight="1" x14ac:dyDescent="0.35">
      <c r="A364" s="83"/>
      <c r="B364" s="47" t="s">
        <v>976</v>
      </c>
      <c r="C364" s="105" t="s">
        <v>1448</v>
      </c>
      <c r="D364" s="86"/>
      <c r="E364" s="86"/>
      <c r="F364" s="87"/>
      <c r="G364" s="86"/>
      <c r="H364" s="86"/>
      <c r="I364" s="84"/>
      <c r="J364" s="106"/>
      <c r="K364" s="102"/>
      <c r="L364" s="102"/>
      <c r="M364" s="102"/>
      <c r="N364" s="102"/>
      <c r="O364" s="102"/>
      <c r="P364" s="102"/>
      <c r="Q364" s="93"/>
      <c r="R364" s="95">
        <f t="shared" si="33"/>
        <v>0</v>
      </c>
      <c r="S364" s="97">
        <f t="shared" si="35"/>
        <v>0</v>
      </c>
      <c r="T364" s="27"/>
      <c r="U364" s="27"/>
      <c r="V364" s="27"/>
      <c r="W364" s="27"/>
      <c r="X364" s="27"/>
      <c r="Y364" s="27"/>
      <c r="Z364" s="27"/>
    </row>
    <row r="365" spans="1:26" ht="14.25" customHeight="1" x14ac:dyDescent="0.35">
      <c r="A365" s="83"/>
      <c r="B365" s="112" t="s">
        <v>909</v>
      </c>
      <c r="C365" s="33"/>
      <c r="D365" s="136"/>
      <c r="E365" s="136"/>
      <c r="F365" s="136"/>
      <c r="G365" s="86"/>
      <c r="H365" s="136"/>
      <c r="I365" s="84"/>
      <c r="J365" s="374"/>
      <c r="K365" s="32"/>
      <c r="L365" s="32"/>
      <c r="M365" s="32"/>
      <c r="N365" s="32"/>
      <c r="O365" s="32"/>
      <c r="P365" s="32"/>
      <c r="Q365" s="93"/>
      <c r="R365" s="95">
        <f t="shared" si="33"/>
        <v>0</v>
      </c>
      <c r="S365" s="97">
        <f t="shared" si="35"/>
        <v>0</v>
      </c>
      <c r="T365" s="27"/>
      <c r="U365" s="27"/>
      <c r="V365" s="27"/>
      <c r="W365" s="27"/>
      <c r="X365" s="27"/>
      <c r="Y365" s="27"/>
      <c r="Z365" s="27"/>
    </row>
    <row r="366" spans="1:26" ht="14.25" customHeight="1" x14ac:dyDescent="0.35">
      <c r="A366" s="83"/>
      <c r="B366" s="47" t="s">
        <v>1029</v>
      </c>
      <c r="C366" s="33"/>
      <c r="D366" s="136"/>
      <c r="E366" s="136"/>
      <c r="F366" s="136"/>
      <c r="G366" s="86"/>
      <c r="H366" s="136"/>
      <c r="I366" s="86"/>
      <c r="J366" s="374"/>
      <c r="K366" s="32"/>
      <c r="L366" s="32"/>
      <c r="M366" s="32"/>
      <c r="N366" s="32"/>
      <c r="O366" s="32"/>
      <c r="P366" s="32"/>
      <c r="Q366" s="93"/>
      <c r="R366" s="95">
        <f t="shared" si="33"/>
        <v>0</v>
      </c>
      <c r="S366" s="97">
        <f t="shared" si="35"/>
        <v>0</v>
      </c>
      <c r="T366" s="27"/>
      <c r="U366" s="27"/>
      <c r="V366" s="27"/>
      <c r="W366" s="27"/>
      <c r="X366" s="27"/>
      <c r="Y366" s="27"/>
      <c r="Z366" s="27"/>
    </row>
    <row r="367" spans="1:26" ht="14.25" customHeight="1" x14ac:dyDescent="0.35">
      <c r="A367" s="83"/>
      <c r="B367" s="47" t="s">
        <v>1060</v>
      </c>
      <c r="C367" s="33" t="s">
        <v>1465</v>
      </c>
      <c r="D367" s="136"/>
      <c r="E367" s="136"/>
      <c r="F367" s="136"/>
      <c r="G367" s="86"/>
      <c r="H367" s="136"/>
      <c r="I367" s="86"/>
      <c r="J367" s="374"/>
      <c r="K367" s="32"/>
      <c r="L367" s="32"/>
      <c r="M367" s="32"/>
      <c r="N367" s="32"/>
      <c r="O367" s="32"/>
      <c r="P367" s="32"/>
      <c r="Q367" s="93"/>
      <c r="R367" s="95">
        <f t="shared" si="33"/>
        <v>0</v>
      </c>
      <c r="S367" s="97"/>
      <c r="T367" s="27"/>
      <c r="U367" s="27"/>
      <c r="V367" s="27"/>
      <c r="W367" s="27"/>
      <c r="X367" s="27"/>
      <c r="Y367" s="27"/>
      <c r="Z367" s="27"/>
    </row>
    <row r="368" spans="1:26" ht="14.25" customHeight="1" x14ac:dyDescent="0.35">
      <c r="A368" s="83"/>
      <c r="B368" s="47" t="s">
        <v>1032</v>
      </c>
      <c r="C368" s="33"/>
      <c r="D368" s="136"/>
      <c r="E368" s="136"/>
      <c r="F368" s="136"/>
      <c r="G368" s="86"/>
      <c r="H368" s="136"/>
      <c r="I368" s="86"/>
      <c r="J368" s="374"/>
      <c r="K368" s="32"/>
      <c r="L368" s="32"/>
      <c r="M368" s="32"/>
      <c r="N368" s="32"/>
      <c r="O368" s="32"/>
      <c r="P368" s="32"/>
      <c r="Q368" s="93"/>
      <c r="R368" s="95">
        <f t="shared" si="33"/>
        <v>0</v>
      </c>
      <c r="S368" s="97">
        <f t="shared" ref="S368:S371" si="36">D368-R368</f>
        <v>0</v>
      </c>
      <c r="T368" s="27"/>
      <c r="U368" s="27"/>
      <c r="V368" s="27"/>
      <c r="W368" s="27"/>
      <c r="X368" s="27"/>
      <c r="Y368" s="27"/>
      <c r="Z368" s="27"/>
    </row>
    <row r="369" spans="1:26" ht="14.25" customHeight="1" x14ac:dyDescent="0.35">
      <c r="A369" s="83"/>
      <c r="B369" s="112" t="s">
        <v>996</v>
      </c>
      <c r="C369" s="33" t="s">
        <v>1285</v>
      </c>
      <c r="D369" s="136"/>
      <c r="E369" s="136"/>
      <c r="F369" s="136"/>
      <c r="G369" s="86"/>
      <c r="H369" s="136"/>
      <c r="I369" s="84"/>
      <c r="J369" s="374"/>
      <c r="K369" s="32"/>
      <c r="L369" s="32"/>
      <c r="M369" s="32"/>
      <c r="N369" s="32"/>
      <c r="O369" s="32"/>
      <c r="P369" s="32"/>
      <c r="Q369" s="93"/>
      <c r="R369" s="95">
        <f t="shared" si="33"/>
        <v>0</v>
      </c>
      <c r="S369" s="97">
        <f t="shared" si="36"/>
        <v>0</v>
      </c>
      <c r="T369" s="27"/>
      <c r="U369" s="27"/>
      <c r="V369" s="27"/>
      <c r="W369" s="27"/>
      <c r="X369" s="27"/>
      <c r="Y369" s="27"/>
      <c r="Z369" s="27"/>
    </row>
    <row r="370" spans="1:26" ht="14.25" customHeight="1" x14ac:dyDescent="0.35">
      <c r="A370" s="83"/>
      <c r="B370" s="112" t="s">
        <v>1508</v>
      </c>
      <c r="C370" s="33"/>
      <c r="D370" s="136"/>
      <c r="E370" s="136"/>
      <c r="F370" s="136"/>
      <c r="G370" s="86"/>
      <c r="H370" s="136"/>
      <c r="I370" s="86"/>
      <c r="J370" s="425"/>
      <c r="K370" s="119"/>
      <c r="L370" s="119"/>
      <c r="M370" s="119"/>
      <c r="N370" s="119"/>
      <c r="O370" s="119"/>
      <c r="P370" s="119"/>
      <c r="Q370" s="93"/>
      <c r="R370" s="95">
        <f t="shared" si="33"/>
        <v>0</v>
      </c>
      <c r="S370" s="97">
        <f t="shared" si="36"/>
        <v>0</v>
      </c>
      <c r="T370" s="27"/>
      <c r="U370" s="27"/>
      <c r="V370" s="27"/>
      <c r="W370" s="27"/>
      <c r="X370" s="27"/>
      <c r="Y370" s="27"/>
      <c r="Z370" s="27"/>
    </row>
    <row r="371" spans="1:26" ht="14.25" customHeight="1" x14ac:dyDescent="0.35">
      <c r="A371" s="83"/>
      <c r="B371" s="47" t="s">
        <v>1509</v>
      </c>
      <c r="C371" s="105" t="s">
        <v>1510</v>
      </c>
      <c r="D371" s="86"/>
      <c r="E371" s="86"/>
      <c r="F371" s="87"/>
      <c r="G371" s="86"/>
      <c r="H371" s="86"/>
      <c r="I371" s="84"/>
      <c r="J371" s="86"/>
      <c r="K371" s="32"/>
      <c r="L371" s="32"/>
      <c r="M371" s="32"/>
      <c r="N371" s="32"/>
      <c r="O371" s="32"/>
      <c r="P371" s="32"/>
      <c r="Q371" s="93"/>
      <c r="R371" s="95">
        <f t="shared" si="33"/>
        <v>0</v>
      </c>
      <c r="S371" s="97">
        <f t="shared" si="36"/>
        <v>0</v>
      </c>
      <c r="T371" s="27"/>
      <c r="U371" s="27"/>
      <c r="V371" s="27"/>
      <c r="W371" s="27"/>
      <c r="X371" s="27"/>
      <c r="Y371" s="27"/>
      <c r="Z371" s="27"/>
    </row>
    <row r="372" spans="1:26" ht="14.25" customHeight="1" x14ac:dyDescent="0.35">
      <c r="A372" s="83"/>
      <c r="B372" s="11" t="s">
        <v>1039</v>
      </c>
      <c r="C372" s="105"/>
      <c r="D372" s="86"/>
      <c r="E372" s="86"/>
      <c r="F372" s="87"/>
      <c r="G372" s="86"/>
      <c r="H372" s="86"/>
      <c r="I372" s="84"/>
      <c r="J372" s="398"/>
      <c r="K372" s="119"/>
      <c r="L372" s="119"/>
      <c r="M372" s="119"/>
      <c r="N372" s="119"/>
      <c r="O372" s="119"/>
      <c r="P372" s="119"/>
      <c r="Q372" s="93"/>
      <c r="R372" s="95">
        <f t="shared" si="33"/>
        <v>0</v>
      </c>
      <c r="S372" s="97"/>
      <c r="T372" s="27"/>
      <c r="U372" s="27"/>
      <c r="V372" s="27"/>
      <c r="W372" s="27"/>
      <c r="X372" s="27"/>
      <c r="Y372" s="27"/>
      <c r="Z372" s="27"/>
    </row>
    <row r="373" spans="1:26" ht="14.25" customHeight="1" x14ac:dyDescent="0.35">
      <c r="A373" s="83"/>
      <c r="B373" s="47" t="s">
        <v>989</v>
      </c>
      <c r="C373" s="1"/>
      <c r="D373" s="84"/>
      <c r="E373" s="86"/>
      <c r="F373" s="87"/>
      <c r="G373" s="86"/>
      <c r="H373" s="86"/>
      <c r="I373" s="84"/>
      <c r="J373" s="398"/>
      <c r="K373" s="119"/>
      <c r="L373" s="119"/>
      <c r="M373" s="119"/>
      <c r="N373" s="119"/>
      <c r="O373" s="119"/>
      <c r="P373" s="119"/>
      <c r="Q373" s="93"/>
      <c r="R373" s="95">
        <f t="shared" si="33"/>
        <v>0</v>
      </c>
      <c r="S373" s="97">
        <f t="shared" ref="S373:S392" si="37">D373-R373</f>
        <v>0</v>
      </c>
      <c r="T373" s="27"/>
      <c r="U373" s="27"/>
      <c r="V373" s="27"/>
      <c r="W373" s="27"/>
      <c r="X373" s="27"/>
      <c r="Y373" s="27"/>
      <c r="Z373" s="27"/>
    </row>
    <row r="374" spans="1:26" ht="17.25" customHeight="1" x14ac:dyDescent="0.35">
      <c r="A374" s="60"/>
      <c r="B374" s="378" t="s">
        <v>620</v>
      </c>
      <c r="C374" s="375"/>
      <c r="D374" s="438"/>
      <c r="E374" s="438"/>
      <c r="F374" s="438"/>
      <c r="G374" s="438"/>
      <c r="H374" s="438"/>
      <c r="I374" s="438"/>
      <c r="J374" s="438"/>
      <c r="K374" s="376"/>
      <c r="L374" s="376"/>
      <c r="M374" s="376"/>
      <c r="N374" s="376"/>
      <c r="O374" s="376"/>
      <c r="P374" s="376"/>
      <c r="Q374" s="438"/>
      <c r="R374" s="316">
        <f t="shared" si="33"/>
        <v>0</v>
      </c>
      <c r="S374" s="317">
        <f t="shared" si="37"/>
        <v>0</v>
      </c>
      <c r="T374" s="320"/>
      <c r="U374" s="320"/>
      <c r="V374" s="320"/>
      <c r="W374" s="320"/>
      <c r="X374" s="320"/>
      <c r="Y374" s="320"/>
      <c r="Z374" s="320"/>
    </row>
    <row r="375" spans="1:26" ht="14.25" customHeight="1" x14ac:dyDescent="0.35">
      <c r="A375" s="83"/>
      <c r="B375" s="47"/>
      <c r="C375" s="1"/>
      <c r="D375" s="1"/>
      <c r="E375" s="1"/>
      <c r="F375" s="1"/>
      <c r="G375" s="1"/>
      <c r="H375" s="1"/>
      <c r="I375" s="1"/>
      <c r="J375" s="1"/>
      <c r="K375" s="32"/>
      <c r="L375" s="32"/>
      <c r="M375" s="32"/>
      <c r="N375" s="32"/>
      <c r="O375" s="32"/>
      <c r="P375" s="32"/>
      <c r="Q375" s="93"/>
      <c r="R375" s="95"/>
      <c r="S375" s="97">
        <f t="shared" si="37"/>
        <v>0</v>
      </c>
      <c r="T375" s="27"/>
      <c r="U375" s="27"/>
      <c r="V375" s="27"/>
      <c r="W375" s="27"/>
      <c r="X375" s="27"/>
      <c r="Y375" s="27"/>
      <c r="Z375" s="27"/>
    </row>
    <row r="376" spans="1:26" ht="14.25" customHeight="1" x14ac:dyDescent="0.35">
      <c r="A376" s="83"/>
      <c r="B376" s="381" t="s">
        <v>1072</v>
      </c>
      <c r="C376" s="382"/>
      <c r="D376" s="382"/>
      <c r="E376" s="382"/>
      <c r="F376" s="382"/>
      <c r="G376" s="382"/>
      <c r="H376" s="382"/>
      <c r="I376" s="382"/>
      <c r="J376" s="382"/>
      <c r="K376" s="388"/>
      <c r="L376" s="388"/>
      <c r="M376" s="388"/>
      <c r="N376" s="388"/>
      <c r="O376" s="388"/>
      <c r="P376" s="388"/>
      <c r="Q376" s="390"/>
      <c r="R376" s="95"/>
      <c r="S376" s="97">
        <f t="shared" si="37"/>
        <v>0</v>
      </c>
      <c r="T376" s="27"/>
      <c r="U376" s="27"/>
      <c r="V376" s="27"/>
      <c r="W376" s="27"/>
      <c r="X376" s="27"/>
      <c r="Y376" s="27"/>
      <c r="Z376" s="27"/>
    </row>
    <row r="377" spans="1:26" ht="14.25" customHeight="1" x14ac:dyDescent="0.35">
      <c r="A377" s="83"/>
      <c r="B377" s="47" t="s">
        <v>1362</v>
      </c>
      <c r="C377" s="105" t="s">
        <v>1546</v>
      </c>
      <c r="D377" s="159"/>
      <c r="E377" s="86"/>
      <c r="F377" s="84"/>
      <c r="G377" s="86"/>
      <c r="H377" s="86"/>
      <c r="I377" s="86"/>
      <c r="J377" s="261"/>
      <c r="K377" s="119"/>
      <c r="L377" s="119"/>
      <c r="M377" s="119"/>
      <c r="N377" s="119"/>
      <c r="O377" s="119"/>
      <c r="P377" s="119"/>
      <c r="Q377" s="93"/>
      <c r="R377" s="95">
        <f t="shared" ref="R377:R392" si="38">J377+K377+L377+M377+N377+O377+P377+Q377</f>
        <v>0</v>
      </c>
      <c r="S377" s="97">
        <f t="shared" si="37"/>
        <v>0</v>
      </c>
      <c r="T377" s="27"/>
      <c r="U377" s="27"/>
      <c r="V377" s="27"/>
      <c r="W377" s="27"/>
      <c r="X377" s="27"/>
      <c r="Y377" s="27"/>
      <c r="Z377" s="27"/>
    </row>
    <row r="378" spans="1:26" ht="14.25" customHeight="1" x14ac:dyDescent="0.35">
      <c r="A378" s="83"/>
      <c r="B378" s="47" t="s">
        <v>1549</v>
      </c>
      <c r="C378" s="141" t="s">
        <v>1546</v>
      </c>
      <c r="D378" s="142"/>
      <c r="E378" s="86"/>
      <c r="F378" s="87"/>
      <c r="G378" s="86"/>
      <c r="H378" s="86"/>
      <c r="I378" s="86"/>
      <c r="J378" s="142"/>
      <c r="K378" s="32"/>
      <c r="L378" s="32"/>
      <c r="M378" s="32"/>
      <c r="N378" s="32"/>
      <c r="O378" s="32"/>
      <c r="P378" s="32"/>
      <c r="Q378" s="93"/>
      <c r="R378" s="95">
        <f t="shared" si="38"/>
        <v>0</v>
      </c>
      <c r="S378" s="97">
        <f t="shared" si="37"/>
        <v>0</v>
      </c>
      <c r="T378" s="27"/>
      <c r="U378" s="27"/>
      <c r="V378" s="27"/>
      <c r="W378" s="27"/>
      <c r="X378" s="27"/>
      <c r="Y378" s="27"/>
      <c r="Z378" s="27"/>
    </row>
    <row r="379" spans="1:26" ht="14.25" customHeight="1" x14ac:dyDescent="0.35">
      <c r="A379" s="83"/>
      <c r="B379" s="47" t="s">
        <v>1552</v>
      </c>
      <c r="C379" s="105" t="s">
        <v>1553</v>
      </c>
      <c r="D379" s="159"/>
      <c r="E379" s="86"/>
      <c r="F379" s="84"/>
      <c r="G379" s="86"/>
      <c r="H379" s="86"/>
      <c r="I379" s="86"/>
      <c r="J379" s="105"/>
      <c r="K379" s="32"/>
      <c r="L379" s="32"/>
      <c r="M379" s="32"/>
      <c r="N379" s="32"/>
      <c r="O379" s="32"/>
      <c r="P379" s="32"/>
      <c r="Q379" s="93"/>
      <c r="R379" s="95">
        <f t="shared" si="38"/>
        <v>0</v>
      </c>
      <c r="S379" s="97">
        <f t="shared" si="37"/>
        <v>0</v>
      </c>
      <c r="T379" s="27"/>
      <c r="U379" s="27"/>
      <c r="V379" s="27"/>
      <c r="W379" s="27"/>
      <c r="X379" s="27"/>
      <c r="Y379" s="27"/>
      <c r="Z379" s="27"/>
    </row>
    <row r="380" spans="1:26" ht="14.25" customHeight="1" x14ac:dyDescent="0.35">
      <c r="A380" s="83"/>
      <c r="B380" s="47" t="s">
        <v>1511</v>
      </c>
      <c r="C380" s="105" t="s">
        <v>1554</v>
      </c>
      <c r="D380" s="159"/>
      <c r="E380" s="86"/>
      <c r="F380" s="84"/>
      <c r="G380" s="86"/>
      <c r="H380" s="86"/>
      <c r="I380" s="86"/>
      <c r="J380" s="261"/>
      <c r="K380" s="119"/>
      <c r="L380" s="119"/>
      <c r="M380" s="119"/>
      <c r="N380" s="119"/>
      <c r="O380" s="119"/>
      <c r="P380" s="119"/>
      <c r="Q380" s="93"/>
      <c r="R380" s="95">
        <f t="shared" si="38"/>
        <v>0</v>
      </c>
      <c r="S380" s="97">
        <f t="shared" si="37"/>
        <v>0</v>
      </c>
      <c r="T380" s="27"/>
      <c r="U380" s="27"/>
      <c r="V380" s="27"/>
      <c r="W380" s="27"/>
      <c r="X380" s="27"/>
      <c r="Y380" s="27"/>
      <c r="Z380" s="27"/>
    </row>
    <row r="381" spans="1:26" ht="14.25" customHeight="1" x14ac:dyDescent="0.35">
      <c r="A381" s="83"/>
      <c r="B381" s="47" t="s">
        <v>1512</v>
      </c>
      <c r="C381" s="105" t="s">
        <v>1555</v>
      </c>
      <c r="D381" s="159"/>
      <c r="E381" s="86"/>
      <c r="F381" s="84"/>
      <c r="G381" s="86"/>
      <c r="H381" s="86"/>
      <c r="I381" s="86"/>
      <c r="J381" s="261"/>
      <c r="K381" s="119"/>
      <c r="L381" s="119"/>
      <c r="M381" s="119"/>
      <c r="N381" s="119"/>
      <c r="O381" s="119"/>
      <c r="P381" s="119"/>
      <c r="Q381" s="93"/>
      <c r="R381" s="95">
        <f t="shared" si="38"/>
        <v>0</v>
      </c>
      <c r="S381" s="97">
        <f t="shared" si="37"/>
        <v>0</v>
      </c>
      <c r="T381" s="27"/>
      <c r="U381" s="27"/>
      <c r="V381" s="27"/>
      <c r="W381" s="27"/>
      <c r="X381" s="27"/>
      <c r="Y381" s="27"/>
      <c r="Z381" s="27"/>
    </row>
    <row r="382" spans="1:26" ht="14.25" customHeight="1" x14ac:dyDescent="0.35">
      <c r="A382" s="83"/>
      <c r="B382" s="47" t="s">
        <v>1354</v>
      </c>
      <c r="C382" s="141" t="s">
        <v>1546</v>
      </c>
      <c r="D382" s="142"/>
      <c r="E382" s="86"/>
      <c r="F382" s="87"/>
      <c r="G382" s="86"/>
      <c r="H382" s="86"/>
      <c r="I382" s="86"/>
      <c r="J382" s="391"/>
      <c r="K382" s="119"/>
      <c r="L382" s="119"/>
      <c r="M382" s="119"/>
      <c r="N382" s="119"/>
      <c r="O382" s="119"/>
      <c r="P382" s="119"/>
      <c r="Q382" s="93"/>
      <c r="R382" s="95">
        <f t="shared" si="38"/>
        <v>0</v>
      </c>
      <c r="S382" s="97">
        <f t="shared" si="37"/>
        <v>0</v>
      </c>
      <c r="T382" s="27"/>
      <c r="U382" s="27"/>
      <c r="V382" s="27"/>
      <c r="W382" s="27"/>
      <c r="X382" s="27"/>
      <c r="Y382" s="27"/>
      <c r="Z382" s="27"/>
    </row>
    <row r="383" spans="1:26" ht="14.25" customHeight="1" x14ac:dyDescent="0.35">
      <c r="A383" s="83"/>
      <c r="B383" s="47" t="s">
        <v>1513</v>
      </c>
      <c r="C383" s="105" t="s">
        <v>1555</v>
      </c>
      <c r="D383" s="159"/>
      <c r="E383" s="86"/>
      <c r="F383" s="84"/>
      <c r="G383" s="86"/>
      <c r="H383" s="86"/>
      <c r="I383" s="86"/>
      <c r="J383" s="261"/>
      <c r="K383" s="119"/>
      <c r="L383" s="119"/>
      <c r="M383" s="119"/>
      <c r="N383" s="119"/>
      <c r="O383" s="119"/>
      <c r="P383" s="119"/>
      <c r="Q383" s="93"/>
      <c r="R383" s="95">
        <f t="shared" si="38"/>
        <v>0</v>
      </c>
      <c r="S383" s="97">
        <f t="shared" si="37"/>
        <v>0</v>
      </c>
      <c r="T383" s="27"/>
      <c r="U383" s="27"/>
      <c r="V383" s="27"/>
      <c r="W383" s="27"/>
      <c r="X383" s="27"/>
      <c r="Y383" s="27"/>
      <c r="Z383" s="27"/>
    </row>
    <row r="384" spans="1:26" ht="14.25" customHeight="1" x14ac:dyDescent="0.35">
      <c r="A384" s="83"/>
      <c r="B384" s="47" t="s">
        <v>1514</v>
      </c>
      <c r="C384" s="105" t="s">
        <v>195</v>
      </c>
      <c r="D384" s="159"/>
      <c r="E384" s="86"/>
      <c r="F384" s="84"/>
      <c r="G384" s="86"/>
      <c r="H384" s="86"/>
      <c r="I384" s="86"/>
      <c r="J384" s="261"/>
      <c r="K384" s="119"/>
      <c r="L384" s="119"/>
      <c r="M384" s="119"/>
      <c r="N384" s="119"/>
      <c r="O384" s="119"/>
      <c r="P384" s="119"/>
      <c r="Q384" s="93"/>
      <c r="R384" s="95">
        <f t="shared" si="38"/>
        <v>0</v>
      </c>
      <c r="S384" s="97">
        <f t="shared" si="37"/>
        <v>0</v>
      </c>
      <c r="T384" s="27"/>
      <c r="U384" s="27"/>
      <c r="V384" s="27"/>
      <c r="W384" s="27"/>
      <c r="X384" s="27"/>
      <c r="Y384" s="27"/>
      <c r="Z384" s="27"/>
    </row>
    <row r="385" spans="1:26" ht="14.25" customHeight="1" x14ac:dyDescent="0.35">
      <c r="A385" s="83"/>
      <c r="B385" s="47" t="s">
        <v>1117</v>
      </c>
      <c r="C385" s="105" t="s">
        <v>1515</v>
      </c>
      <c r="D385" s="159"/>
      <c r="E385" s="86"/>
      <c r="F385" s="84"/>
      <c r="G385" s="86"/>
      <c r="H385" s="86"/>
      <c r="I385" s="86"/>
      <c r="J385" s="261"/>
      <c r="K385" s="119"/>
      <c r="L385" s="119"/>
      <c r="M385" s="119"/>
      <c r="N385" s="119"/>
      <c r="O385" s="119"/>
      <c r="P385" s="119"/>
      <c r="Q385" s="93"/>
      <c r="R385" s="95">
        <f t="shared" si="38"/>
        <v>0</v>
      </c>
      <c r="S385" s="97">
        <f t="shared" si="37"/>
        <v>0</v>
      </c>
      <c r="T385" s="27"/>
      <c r="U385" s="27"/>
      <c r="V385" s="27"/>
      <c r="W385" s="27"/>
      <c r="X385" s="27"/>
      <c r="Y385" s="27"/>
      <c r="Z385" s="27"/>
    </row>
    <row r="386" spans="1:26" ht="14.25" customHeight="1" x14ac:dyDescent="0.35">
      <c r="A386" s="83"/>
      <c r="B386" s="47" t="s">
        <v>1364</v>
      </c>
      <c r="C386" s="105" t="s">
        <v>1546</v>
      </c>
      <c r="D386" s="159"/>
      <c r="E386" s="86"/>
      <c r="F386" s="84"/>
      <c r="G386" s="86"/>
      <c r="H386" s="86"/>
      <c r="I386" s="86"/>
      <c r="J386" s="105"/>
      <c r="K386" s="32"/>
      <c r="L386" s="32"/>
      <c r="M386" s="32"/>
      <c r="N386" s="32"/>
      <c r="O386" s="32"/>
      <c r="P386" s="32"/>
      <c r="Q386" s="93"/>
      <c r="R386" s="95">
        <f t="shared" si="38"/>
        <v>0</v>
      </c>
      <c r="S386" s="97">
        <f t="shared" si="37"/>
        <v>0</v>
      </c>
      <c r="T386" s="27"/>
      <c r="U386" s="27"/>
      <c r="V386" s="27"/>
      <c r="W386" s="27"/>
      <c r="X386" s="27"/>
      <c r="Y386" s="27"/>
      <c r="Z386" s="27"/>
    </row>
    <row r="387" spans="1:26" ht="14.25" customHeight="1" x14ac:dyDescent="0.35">
      <c r="A387" s="83"/>
      <c r="B387" s="47" t="s">
        <v>1517</v>
      </c>
      <c r="C387" s="141" t="s">
        <v>195</v>
      </c>
      <c r="D387" s="159"/>
      <c r="E387" s="86"/>
      <c r="F387" s="84"/>
      <c r="G387" s="86"/>
      <c r="H387" s="86"/>
      <c r="I387" s="86"/>
      <c r="J387" s="391"/>
      <c r="K387" s="119"/>
      <c r="L387" s="119"/>
      <c r="M387" s="119"/>
      <c r="N387" s="119"/>
      <c r="O387" s="119"/>
      <c r="P387" s="119"/>
      <c r="Q387" s="93"/>
      <c r="R387" s="95">
        <f t="shared" si="38"/>
        <v>0</v>
      </c>
      <c r="S387" s="97">
        <f t="shared" si="37"/>
        <v>0</v>
      </c>
      <c r="T387" s="27"/>
      <c r="U387" s="27"/>
      <c r="V387" s="27"/>
      <c r="W387" s="27"/>
      <c r="X387" s="27"/>
      <c r="Y387" s="27"/>
      <c r="Z387" s="27"/>
    </row>
    <row r="388" spans="1:26" ht="14.25" customHeight="1" x14ac:dyDescent="0.35">
      <c r="A388" s="83"/>
      <c r="B388" s="47" t="s">
        <v>1105</v>
      </c>
      <c r="C388" s="105" t="s">
        <v>1555</v>
      </c>
      <c r="D388" s="159"/>
      <c r="E388" s="86"/>
      <c r="F388" s="84"/>
      <c r="G388" s="86"/>
      <c r="H388" s="86"/>
      <c r="I388" s="86"/>
      <c r="J388" s="105"/>
      <c r="K388" s="32"/>
      <c r="L388" s="32"/>
      <c r="M388" s="32"/>
      <c r="N388" s="32"/>
      <c r="O388" s="32"/>
      <c r="P388" s="32"/>
      <c r="Q388" s="93"/>
      <c r="R388" s="95">
        <f t="shared" si="38"/>
        <v>0</v>
      </c>
      <c r="S388" s="97">
        <f t="shared" si="37"/>
        <v>0</v>
      </c>
      <c r="T388" s="27"/>
      <c r="U388" s="27"/>
      <c r="V388" s="27"/>
      <c r="W388" s="27"/>
      <c r="X388" s="27"/>
      <c r="Y388" s="27"/>
      <c r="Z388" s="27"/>
    </row>
    <row r="389" spans="1:26" ht="14.25" customHeight="1" x14ac:dyDescent="0.35">
      <c r="A389" s="83"/>
      <c r="B389" s="47" t="s">
        <v>1360</v>
      </c>
      <c r="C389" s="141" t="s">
        <v>1546</v>
      </c>
      <c r="D389" s="142"/>
      <c r="E389" s="86"/>
      <c r="F389" s="87"/>
      <c r="G389" s="86"/>
      <c r="H389" s="86"/>
      <c r="I389" s="86"/>
      <c r="J389" s="142"/>
      <c r="K389" s="32"/>
      <c r="L389" s="32"/>
      <c r="M389" s="32"/>
      <c r="N389" s="32"/>
      <c r="O389" s="32"/>
      <c r="P389" s="32"/>
      <c r="Q389" s="93"/>
      <c r="R389" s="95">
        <f t="shared" si="38"/>
        <v>0</v>
      </c>
      <c r="S389" s="97">
        <f t="shared" si="37"/>
        <v>0</v>
      </c>
      <c r="T389" s="27"/>
      <c r="U389" s="27"/>
      <c r="V389" s="27"/>
      <c r="W389" s="27"/>
      <c r="X389" s="27"/>
      <c r="Y389" s="27"/>
      <c r="Z389" s="27"/>
    </row>
    <row r="390" spans="1:26" ht="14.25" customHeight="1" x14ac:dyDescent="0.35">
      <c r="A390" s="83"/>
      <c r="B390" s="47" t="s">
        <v>1093</v>
      </c>
      <c r="C390" s="105" t="s">
        <v>134</v>
      </c>
      <c r="D390" s="159"/>
      <c r="E390" s="86"/>
      <c r="F390" s="84"/>
      <c r="G390" s="86"/>
      <c r="H390" s="86"/>
      <c r="I390" s="86"/>
      <c r="J390" s="105"/>
      <c r="K390" s="32"/>
      <c r="L390" s="32"/>
      <c r="M390" s="32"/>
      <c r="N390" s="32"/>
      <c r="O390" s="32"/>
      <c r="P390" s="32"/>
      <c r="Q390" s="93"/>
      <c r="R390" s="95">
        <f t="shared" si="38"/>
        <v>0</v>
      </c>
      <c r="S390" s="97">
        <f t="shared" si="37"/>
        <v>0</v>
      </c>
      <c r="T390" s="27"/>
      <c r="U390" s="27"/>
      <c r="V390" s="27"/>
      <c r="W390" s="27"/>
      <c r="X390" s="27"/>
      <c r="Y390" s="27"/>
      <c r="Z390" s="27"/>
    </row>
    <row r="391" spans="1:26" ht="14.25" customHeight="1" x14ac:dyDescent="0.35">
      <c r="A391" s="83"/>
      <c r="B391" s="47" t="s">
        <v>1119</v>
      </c>
      <c r="C391" s="105" t="s">
        <v>1555</v>
      </c>
      <c r="D391" s="159"/>
      <c r="E391" s="86"/>
      <c r="F391" s="84"/>
      <c r="G391" s="86"/>
      <c r="H391" s="86"/>
      <c r="I391" s="86"/>
      <c r="J391" s="261"/>
      <c r="K391" s="119"/>
      <c r="L391" s="119"/>
      <c r="M391" s="119"/>
      <c r="N391" s="119"/>
      <c r="O391" s="119"/>
      <c r="P391" s="119"/>
      <c r="Q391" s="93"/>
      <c r="R391" s="95">
        <f t="shared" si="38"/>
        <v>0</v>
      </c>
      <c r="S391" s="97">
        <f t="shared" si="37"/>
        <v>0</v>
      </c>
      <c r="T391" s="27"/>
      <c r="U391" s="27"/>
      <c r="V391" s="27"/>
      <c r="W391" s="27"/>
      <c r="X391" s="27"/>
      <c r="Y391" s="27"/>
      <c r="Z391" s="27"/>
    </row>
    <row r="392" spans="1:26" ht="14.25" customHeight="1" x14ac:dyDescent="0.35">
      <c r="A392" s="83"/>
      <c r="B392" s="47" t="s">
        <v>1078</v>
      </c>
      <c r="C392" s="1" t="s">
        <v>1326</v>
      </c>
      <c r="D392" s="142"/>
      <c r="E392" s="84"/>
      <c r="F392" s="84"/>
      <c r="G392" s="86"/>
      <c r="H392" s="84"/>
      <c r="I392" s="86"/>
      <c r="J392" s="449"/>
      <c r="K392" s="119"/>
      <c r="L392" s="119"/>
      <c r="M392" s="119"/>
      <c r="N392" s="119"/>
      <c r="O392" s="119"/>
      <c r="P392" s="119"/>
      <c r="Q392" s="93"/>
      <c r="R392" s="95">
        <f t="shared" si="38"/>
        <v>0</v>
      </c>
      <c r="S392" s="97">
        <f t="shared" si="37"/>
        <v>0</v>
      </c>
      <c r="T392" s="27"/>
      <c r="U392" s="27"/>
      <c r="V392" s="27"/>
      <c r="W392" s="27"/>
      <c r="X392" s="27"/>
      <c r="Y392" s="27"/>
      <c r="Z392" s="27"/>
    </row>
    <row r="393" spans="1:26" ht="14.25" customHeight="1" x14ac:dyDescent="0.35">
      <c r="A393" s="60"/>
      <c r="B393" s="312" t="s">
        <v>620</v>
      </c>
      <c r="C393" s="29"/>
      <c r="D393" s="455"/>
      <c r="E393" s="455"/>
      <c r="F393" s="455"/>
      <c r="G393" s="455"/>
      <c r="H393" s="455"/>
      <c r="I393" s="455"/>
      <c r="J393" s="455"/>
      <c r="K393" s="455"/>
      <c r="L393" s="455"/>
      <c r="M393" s="455"/>
      <c r="N393" s="455"/>
      <c r="O393" s="455"/>
      <c r="P393" s="455"/>
      <c r="Q393" s="455"/>
      <c r="R393" s="455">
        <f t="shared" ref="D393:S393" si="39">SUM(R377:R392)</f>
        <v>0</v>
      </c>
      <c r="S393" s="455">
        <f t="shared" si="39"/>
        <v>0</v>
      </c>
      <c r="T393" s="320"/>
      <c r="U393" s="320"/>
      <c r="V393" s="320"/>
      <c r="W393" s="320"/>
      <c r="X393" s="320"/>
      <c r="Y393" s="320"/>
      <c r="Z393" s="320"/>
    </row>
    <row r="394" spans="1:26" ht="14.25" customHeight="1" x14ac:dyDescent="0.35">
      <c r="A394" s="83"/>
      <c r="B394" s="47"/>
      <c r="C394" s="1"/>
      <c r="D394" s="1"/>
      <c r="E394" s="1"/>
      <c r="F394" s="1"/>
      <c r="G394" s="1"/>
      <c r="H394" s="1"/>
      <c r="I394" s="1"/>
      <c r="J394" s="1"/>
      <c r="K394" s="32"/>
      <c r="L394" s="32"/>
      <c r="M394" s="32"/>
      <c r="N394" s="32"/>
      <c r="O394" s="32"/>
      <c r="P394" s="32"/>
      <c r="Q394" s="93"/>
      <c r="R394" s="95">
        <f t="shared" ref="R394:R409" si="40">J394+K394+L394+M394+N394+O394+P394+Q394</f>
        <v>0</v>
      </c>
      <c r="S394" s="97">
        <f t="shared" ref="S394:S403" si="41">D394-R394</f>
        <v>0</v>
      </c>
      <c r="T394" s="27"/>
      <c r="U394" s="27"/>
      <c r="V394" s="27"/>
      <c r="W394" s="27"/>
      <c r="X394" s="27"/>
      <c r="Y394" s="27"/>
      <c r="Z394" s="27"/>
    </row>
    <row r="395" spans="1:26" ht="14.25" customHeight="1" x14ac:dyDescent="0.35">
      <c r="A395" s="83"/>
      <c r="B395" s="458" t="s">
        <v>1566</v>
      </c>
      <c r="C395" s="1"/>
      <c r="D395" s="1"/>
      <c r="E395" s="1"/>
      <c r="F395" s="29"/>
      <c r="G395" s="1"/>
      <c r="H395" s="1"/>
      <c r="I395" s="1"/>
      <c r="J395" s="1"/>
      <c r="K395" s="32"/>
      <c r="L395" s="32"/>
      <c r="M395" s="32"/>
      <c r="N395" s="32"/>
      <c r="O395" s="32"/>
      <c r="P395" s="32"/>
      <c r="Q395" s="93"/>
      <c r="R395" s="95">
        <f t="shared" si="40"/>
        <v>0</v>
      </c>
      <c r="S395" s="97">
        <f t="shared" si="41"/>
        <v>0</v>
      </c>
      <c r="T395" s="27"/>
      <c r="U395" s="27"/>
      <c r="V395" s="27"/>
      <c r="W395" s="27"/>
      <c r="X395" s="27"/>
      <c r="Y395" s="27"/>
      <c r="Z395" s="27"/>
    </row>
    <row r="396" spans="1:26" ht="14.25" customHeight="1" x14ac:dyDescent="0.35">
      <c r="A396" s="83"/>
      <c r="B396" s="47" t="s">
        <v>1568</v>
      </c>
      <c r="C396" s="1" t="s">
        <v>1569</v>
      </c>
      <c r="D396" s="459"/>
      <c r="E396" s="86"/>
      <c r="F396" s="461"/>
      <c r="G396" s="461"/>
      <c r="H396" s="464"/>
      <c r="I396" s="461"/>
      <c r="J396" s="466"/>
      <c r="K396" s="119"/>
      <c r="L396" s="119"/>
      <c r="M396" s="119"/>
      <c r="N396" s="119"/>
      <c r="O396" s="119"/>
      <c r="P396" s="119"/>
      <c r="Q396" s="93"/>
      <c r="R396" s="95">
        <f t="shared" si="40"/>
        <v>0</v>
      </c>
      <c r="S396" s="97">
        <f t="shared" si="41"/>
        <v>0</v>
      </c>
      <c r="T396" s="27"/>
      <c r="U396" s="27"/>
      <c r="V396" s="27"/>
      <c r="W396" s="27"/>
      <c r="X396" s="27"/>
      <c r="Y396" s="27"/>
      <c r="Z396" s="27"/>
    </row>
    <row r="397" spans="1:26" ht="14.25" customHeight="1" x14ac:dyDescent="0.35">
      <c r="A397" s="83"/>
      <c r="B397" s="47" t="s">
        <v>1570</v>
      </c>
      <c r="C397" s="1" t="s">
        <v>1569</v>
      </c>
      <c r="D397" s="459"/>
      <c r="E397" s="459"/>
      <c r="F397" s="461"/>
      <c r="G397" s="461"/>
      <c r="H397" s="464"/>
      <c r="I397" s="461"/>
      <c r="J397" s="105"/>
      <c r="K397" s="32"/>
      <c r="L397" s="32"/>
      <c r="M397" s="32"/>
      <c r="N397" s="32"/>
      <c r="O397" s="32"/>
      <c r="P397" s="32"/>
      <c r="Q397" s="93"/>
      <c r="R397" s="95">
        <f t="shared" si="40"/>
        <v>0</v>
      </c>
      <c r="S397" s="97">
        <f t="shared" si="41"/>
        <v>0</v>
      </c>
      <c r="T397" s="27"/>
      <c r="U397" s="27"/>
      <c r="V397" s="27"/>
      <c r="W397" s="27"/>
      <c r="X397" s="27"/>
      <c r="Y397" s="27"/>
      <c r="Z397" s="27"/>
    </row>
    <row r="398" spans="1:26" ht="14.25" customHeight="1" x14ac:dyDescent="0.35">
      <c r="A398" s="83"/>
      <c r="B398" s="47" t="s">
        <v>1571</v>
      </c>
      <c r="C398" s="1" t="s">
        <v>567</v>
      </c>
      <c r="D398" s="459"/>
      <c r="E398" s="86"/>
      <c r="F398" s="461"/>
      <c r="G398" s="461"/>
      <c r="H398" s="464"/>
      <c r="I398" s="461"/>
      <c r="J398" s="466"/>
      <c r="K398" s="119"/>
      <c r="L398" s="119"/>
      <c r="M398" s="119"/>
      <c r="N398" s="119"/>
      <c r="O398" s="119"/>
      <c r="P398" s="119"/>
      <c r="Q398" s="93"/>
      <c r="R398" s="95">
        <f t="shared" si="40"/>
        <v>0</v>
      </c>
      <c r="S398" s="97">
        <f t="shared" si="41"/>
        <v>0</v>
      </c>
      <c r="T398" s="27"/>
      <c r="U398" s="27"/>
      <c r="V398" s="27"/>
      <c r="W398" s="27"/>
      <c r="X398" s="27"/>
      <c r="Y398" s="27"/>
      <c r="Z398" s="27"/>
    </row>
    <row r="399" spans="1:26" ht="14.25" customHeight="1" x14ac:dyDescent="0.35">
      <c r="A399" s="83"/>
      <c r="B399" s="112" t="s">
        <v>1572</v>
      </c>
      <c r="C399" s="218" t="s">
        <v>567</v>
      </c>
      <c r="D399" s="86"/>
      <c r="E399" s="86"/>
      <c r="F399" s="461"/>
      <c r="G399" s="469"/>
      <c r="H399" s="469"/>
      <c r="I399" s="461"/>
      <c r="J399" s="398"/>
      <c r="K399" s="119"/>
      <c r="L399" s="119"/>
      <c r="M399" s="119"/>
      <c r="N399" s="119"/>
      <c r="O399" s="119"/>
      <c r="P399" s="119"/>
      <c r="Q399" s="93"/>
      <c r="R399" s="95">
        <f t="shared" si="40"/>
        <v>0</v>
      </c>
      <c r="S399" s="97">
        <f t="shared" si="41"/>
        <v>0</v>
      </c>
      <c r="T399" s="27"/>
      <c r="U399" s="27"/>
      <c r="V399" s="27"/>
      <c r="W399" s="27"/>
      <c r="X399" s="27"/>
      <c r="Y399" s="27"/>
      <c r="Z399" s="27"/>
    </row>
    <row r="400" spans="1:26" ht="14.25" customHeight="1" x14ac:dyDescent="0.35">
      <c r="A400" s="83"/>
      <c r="B400" s="112" t="s">
        <v>1405</v>
      </c>
      <c r="C400" s="218" t="s">
        <v>567</v>
      </c>
      <c r="D400" s="86"/>
      <c r="E400" s="86"/>
      <c r="F400" s="461"/>
      <c r="G400" s="469"/>
      <c r="H400" s="469"/>
      <c r="I400" s="461"/>
      <c r="J400" s="86"/>
      <c r="K400" s="32"/>
      <c r="L400" s="32"/>
      <c r="M400" s="32"/>
      <c r="N400" s="32"/>
      <c r="O400" s="32"/>
      <c r="P400" s="32"/>
      <c r="Q400" s="93"/>
      <c r="R400" s="95">
        <f t="shared" si="40"/>
        <v>0</v>
      </c>
      <c r="S400" s="97">
        <f t="shared" si="41"/>
        <v>0</v>
      </c>
      <c r="T400" s="27"/>
      <c r="U400" s="27"/>
      <c r="V400" s="27"/>
      <c r="W400" s="27"/>
      <c r="X400" s="27"/>
      <c r="Y400" s="27"/>
      <c r="Z400" s="27"/>
    </row>
    <row r="401" spans="1:26" ht="14.25" customHeight="1" x14ac:dyDescent="0.35">
      <c r="A401" s="83"/>
      <c r="B401" s="112" t="s">
        <v>1573</v>
      </c>
      <c r="C401" s="218" t="s">
        <v>567</v>
      </c>
      <c r="D401" s="86"/>
      <c r="E401" s="86"/>
      <c r="F401" s="461"/>
      <c r="G401" s="469"/>
      <c r="H401" s="469"/>
      <c r="I401" s="461"/>
      <c r="J401" s="86"/>
      <c r="K401" s="32"/>
      <c r="L401" s="32"/>
      <c r="M401" s="32"/>
      <c r="N401" s="32"/>
      <c r="O401" s="32"/>
      <c r="P401" s="32"/>
      <c r="Q401" s="93"/>
      <c r="R401" s="95">
        <f t="shared" si="40"/>
        <v>0</v>
      </c>
      <c r="S401" s="97">
        <f t="shared" si="41"/>
        <v>0</v>
      </c>
      <c r="T401" s="27"/>
      <c r="U401" s="27"/>
      <c r="V401" s="27"/>
      <c r="W401" s="27"/>
      <c r="X401" s="27"/>
      <c r="Y401" s="27"/>
      <c r="Z401" s="27"/>
    </row>
    <row r="402" spans="1:26" ht="14.25" customHeight="1" x14ac:dyDescent="0.35">
      <c r="A402" s="83"/>
      <c r="B402" s="47" t="s">
        <v>1574</v>
      </c>
      <c r="C402" s="1" t="s">
        <v>567</v>
      </c>
      <c r="D402" s="459"/>
      <c r="E402" s="86"/>
      <c r="F402" s="461"/>
      <c r="G402" s="461"/>
      <c r="H402" s="464"/>
      <c r="I402" s="461"/>
      <c r="J402" s="105"/>
      <c r="K402" s="32"/>
      <c r="L402" s="32"/>
      <c r="M402" s="32"/>
      <c r="N402" s="32"/>
      <c r="O402" s="32"/>
      <c r="P402" s="32"/>
      <c r="Q402" s="93"/>
      <c r="R402" s="95">
        <f t="shared" si="40"/>
        <v>0</v>
      </c>
      <c r="S402" s="97">
        <f t="shared" si="41"/>
        <v>0</v>
      </c>
      <c r="T402" s="27"/>
      <c r="U402" s="27"/>
      <c r="V402" s="27"/>
      <c r="W402" s="27"/>
      <c r="X402" s="27"/>
      <c r="Y402" s="27"/>
      <c r="Z402" s="27"/>
    </row>
    <row r="403" spans="1:26" ht="14.25" customHeight="1" x14ac:dyDescent="0.35">
      <c r="A403" s="83"/>
      <c r="B403" s="47" t="s">
        <v>1575</v>
      </c>
      <c r="C403" s="1" t="s">
        <v>567</v>
      </c>
      <c r="D403" s="459"/>
      <c r="E403" s="86"/>
      <c r="F403" s="461"/>
      <c r="G403" s="461"/>
      <c r="H403" s="464"/>
      <c r="I403" s="461"/>
      <c r="J403" s="105"/>
      <c r="K403" s="32"/>
      <c r="L403" s="32"/>
      <c r="M403" s="32"/>
      <c r="N403" s="32"/>
      <c r="O403" s="32"/>
      <c r="P403" s="32"/>
      <c r="Q403" s="93"/>
      <c r="R403" s="95">
        <f t="shared" si="40"/>
        <v>0</v>
      </c>
      <c r="S403" s="97">
        <f t="shared" si="41"/>
        <v>0</v>
      </c>
      <c r="T403" s="27"/>
      <c r="U403" s="27"/>
      <c r="V403" s="27"/>
      <c r="W403" s="27"/>
      <c r="X403" s="27"/>
      <c r="Y403" s="27"/>
      <c r="Z403" s="27"/>
    </row>
    <row r="404" spans="1:26" ht="14.25" customHeight="1" x14ac:dyDescent="0.35">
      <c r="A404" s="83"/>
      <c r="B404" s="47" t="s">
        <v>1372</v>
      </c>
      <c r="C404" s="1" t="s">
        <v>1330</v>
      </c>
      <c r="D404" s="459"/>
      <c r="E404" s="86"/>
      <c r="F404" s="461"/>
      <c r="G404" s="461"/>
      <c r="H404" s="464"/>
      <c r="I404" s="461"/>
      <c r="J404" s="261"/>
      <c r="K404" s="119"/>
      <c r="L404" s="119"/>
      <c r="M404" s="119"/>
      <c r="N404" s="119"/>
      <c r="O404" s="119"/>
      <c r="P404" s="119"/>
      <c r="Q404" s="93"/>
      <c r="R404" s="95">
        <f t="shared" si="40"/>
        <v>0</v>
      </c>
      <c r="S404" s="97"/>
      <c r="T404" s="27"/>
      <c r="U404" s="27"/>
      <c r="V404" s="27"/>
      <c r="W404" s="27"/>
      <c r="X404" s="27"/>
      <c r="Y404" s="27"/>
      <c r="Z404" s="27"/>
    </row>
    <row r="405" spans="1:26" ht="14.25" customHeight="1" x14ac:dyDescent="0.35">
      <c r="A405" s="83"/>
      <c r="B405" s="112" t="s">
        <v>1576</v>
      </c>
      <c r="C405" s="218" t="s">
        <v>567</v>
      </c>
      <c r="D405" s="105"/>
      <c r="E405" s="86"/>
      <c r="F405" s="461"/>
      <c r="G405" s="86"/>
      <c r="H405" s="86"/>
      <c r="I405" s="469"/>
      <c r="J405" s="86"/>
      <c r="K405" s="32"/>
      <c r="L405" s="32"/>
      <c r="M405" s="32"/>
      <c r="N405" s="32"/>
      <c r="O405" s="32"/>
      <c r="P405" s="32"/>
      <c r="Q405" s="93"/>
      <c r="R405" s="95">
        <f t="shared" si="40"/>
        <v>0</v>
      </c>
      <c r="S405" s="97">
        <f t="shared" ref="S405:S409" si="42">D405-R405</f>
        <v>0</v>
      </c>
      <c r="T405" s="27"/>
      <c r="U405" s="27"/>
      <c r="V405" s="27"/>
      <c r="W405" s="27"/>
      <c r="X405" s="27"/>
      <c r="Y405" s="27"/>
      <c r="Z405" s="27"/>
    </row>
    <row r="406" spans="1:26" ht="14.25" customHeight="1" x14ac:dyDescent="0.35">
      <c r="A406" s="83"/>
      <c r="B406" s="112" t="s">
        <v>1577</v>
      </c>
      <c r="C406" s="218" t="s">
        <v>567</v>
      </c>
      <c r="D406" s="105"/>
      <c r="E406" s="86"/>
      <c r="F406" s="461"/>
      <c r="G406" s="86"/>
      <c r="H406" s="86"/>
      <c r="I406" s="469"/>
      <c r="J406" s="398"/>
      <c r="K406" s="119"/>
      <c r="L406" s="119"/>
      <c r="M406" s="119"/>
      <c r="N406" s="119"/>
      <c r="O406" s="119"/>
      <c r="P406" s="119"/>
      <c r="Q406" s="93"/>
      <c r="R406" s="95">
        <f t="shared" si="40"/>
        <v>0</v>
      </c>
      <c r="S406" s="97">
        <f t="shared" si="42"/>
        <v>0</v>
      </c>
      <c r="T406" s="27"/>
      <c r="U406" s="27"/>
      <c r="V406" s="27"/>
      <c r="W406" s="27"/>
      <c r="X406" s="27"/>
      <c r="Y406" s="27"/>
      <c r="Z406" s="27"/>
    </row>
    <row r="407" spans="1:26" ht="14.25" customHeight="1" x14ac:dyDescent="0.35">
      <c r="A407" s="83"/>
      <c r="B407" s="47" t="s">
        <v>1395</v>
      </c>
      <c r="C407" s="1" t="s">
        <v>567</v>
      </c>
      <c r="D407" s="459"/>
      <c r="E407" s="86"/>
      <c r="F407" s="461"/>
      <c r="G407" s="461"/>
      <c r="H407" s="464"/>
      <c r="I407" s="461"/>
      <c r="J407" s="105"/>
      <c r="K407" s="32"/>
      <c r="L407" s="32"/>
      <c r="M407" s="32"/>
      <c r="N407" s="32"/>
      <c r="O407" s="32"/>
      <c r="P407" s="32"/>
      <c r="Q407" s="93"/>
      <c r="R407" s="95">
        <f t="shared" si="40"/>
        <v>0</v>
      </c>
      <c r="S407" s="97">
        <f t="shared" si="42"/>
        <v>0</v>
      </c>
      <c r="T407" s="27"/>
      <c r="U407" s="27"/>
      <c r="V407" s="27"/>
      <c r="W407" s="27"/>
      <c r="X407" s="27"/>
      <c r="Y407" s="27"/>
      <c r="Z407" s="27"/>
    </row>
    <row r="408" spans="1:26" ht="14.25" customHeight="1" x14ac:dyDescent="0.35">
      <c r="A408" s="83"/>
      <c r="B408" s="112" t="s">
        <v>1402</v>
      </c>
      <c r="C408" s="218" t="s">
        <v>567</v>
      </c>
      <c r="D408" s="86"/>
      <c r="E408" s="86"/>
      <c r="F408" s="461"/>
      <c r="G408" s="469"/>
      <c r="H408" s="469"/>
      <c r="I408" s="461"/>
      <c r="J408" s="398"/>
      <c r="K408" s="119"/>
      <c r="L408" s="119"/>
      <c r="M408" s="119"/>
      <c r="N408" s="119"/>
      <c r="O408" s="119"/>
      <c r="P408" s="119"/>
      <c r="Q408" s="93"/>
      <c r="R408" s="95">
        <f t="shared" si="40"/>
        <v>0</v>
      </c>
      <c r="S408" s="97">
        <f t="shared" si="42"/>
        <v>0</v>
      </c>
      <c r="T408" s="27"/>
      <c r="U408" s="27"/>
      <c r="V408" s="27"/>
      <c r="W408" s="27"/>
      <c r="X408" s="27"/>
      <c r="Y408" s="27"/>
      <c r="Z408" s="27"/>
    </row>
    <row r="409" spans="1:26" ht="14.25" customHeight="1" x14ac:dyDescent="0.35">
      <c r="A409" s="83"/>
      <c r="B409" s="47" t="s">
        <v>1578</v>
      </c>
      <c r="C409" s="1" t="s">
        <v>1569</v>
      </c>
      <c r="D409" s="459"/>
      <c r="E409" s="459"/>
      <c r="F409" s="461"/>
      <c r="G409" s="461"/>
      <c r="H409" s="464"/>
      <c r="I409" s="461"/>
      <c r="J409" s="105"/>
      <c r="K409" s="32"/>
      <c r="L409" s="32"/>
      <c r="M409" s="32"/>
      <c r="N409" s="32"/>
      <c r="O409" s="32"/>
      <c r="P409" s="32"/>
      <c r="Q409" s="93"/>
      <c r="R409" s="95">
        <f t="shared" si="40"/>
        <v>0</v>
      </c>
      <c r="S409" s="97">
        <f t="shared" si="42"/>
        <v>0</v>
      </c>
      <c r="T409" s="27"/>
      <c r="U409" s="27"/>
      <c r="V409" s="27"/>
      <c r="W409" s="27"/>
      <c r="X409" s="27"/>
      <c r="Y409" s="27"/>
      <c r="Z409" s="27"/>
    </row>
    <row r="410" spans="1:26" ht="14.25" customHeight="1" x14ac:dyDescent="0.35">
      <c r="A410" s="60"/>
      <c r="B410" s="312" t="s">
        <v>620</v>
      </c>
      <c r="C410" s="29"/>
      <c r="D410" s="473"/>
      <c r="E410" s="473"/>
      <c r="F410" s="473"/>
      <c r="G410" s="473"/>
      <c r="H410" s="473"/>
      <c r="I410" s="473"/>
      <c r="J410" s="473"/>
      <c r="K410" s="473"/>
      <c r="L410" s="473"/>
      <c r="M410" s="473"/>
      <c r="N410" s="473"/>
      <c r="O410" s="473"/>
      <c r="P410" s="473"/>
      <c r="Q410" s="473"/>
      <c r="R410" s="473">
        <f t="shared" ref="L410:S410" si="43">SUM(R396:R409)</f>
        <v>0</v>
      </c>
      <c r="S410" s="473">
        <f t="shared" si="43"/>
        <v>0</v>
      </c>
      <c r="T410" s="320"/>
      <c r="U410" s="320"/>
      <c r="V410" s="320"/>
      <c r="W410" s="320"/>
      <c r="X410" s="320"/>
      <c r="Y410" s="320"/>
      <c r="Z410" s="320"/>
    </row>
    <row r="411" spans="1:26" ht="17.25" customHeight="1" x14ac:dyDescent="0.35">
      <c r="A411" s="60"/>
      <c r="B411" s="378" t="s">
        <v>752</v>
      </c>
      <c r="C411" s="375"/>
      <c r="D411" s="420"/>
      <c r="E411" s="420"/>
      <c r="F411" s="420"/>
      <c r="G411" s="420"/>
      <c r="H411" s="420"/>
      <c r="I411" s="420"/>
      <c r="J411" s="420"/>
      <c r="K411" s="420"/>
      <c r="L411" s="420"/>
      <c r="M411" s="420"/>
      <c r="N411" s="420"/>
      <c r="O411" s="420"/>
      <c r="P411" s="420"/>
      <c r="Q411" s="420"/>
      <c r="R411" s="420">
        <f t="shared" ref="D411:S411" si="44">R410+R393</f>
        <v>0</v>
      </c>
      <c r="S411" s="420">
        <f t="shared" si="44"/>
        <v>0</v>
      </c>
      <c r="T411" s="320"/>
      <c r="U411" s="320"/>
      <c r="V411" s="320"/>
      <c r="W411" s="320"/>
      <c r="X411" s="320"/>
      <c r="Y411" s="320"/>
      <c r="Z411" s="320"/>
    </row>
    <row r="412" spans="1:26" ht="14.25" customHeight="1" x14ac:dyDescent="0.35">
      <c r="A412" s="83"/>
      <c r="B412" s="47"/>
      <c r="C412" s="1"/>
      <c r="D412" s="1"/>
      <c r="E412" s="1"/>
      <c r="F412" s="1"/>
      <c r="G412" s="1"/>
      <c r="H412" s="1"/>
      <c r="I412" s="1"/>
      <c r="J412" s="1"/>
      <c r="K412" s="32"/>
      <c r="L412" s="32"/>
      <c r="M412" s="32"/>
      <c r="N412" s="32"/>
      <c r="O412" s="32"/>
      <c r="P412" s="32"/>
      <c r="Q412" s="93"/>
      <c r="R412" s="95"/>
      <c r="S412" s="97">
        <f t="shared" ref="S412:S423" si="45">D412-R412</f>
        <v>0</v>
      </c>
      <c r="T412" s="27"/>
      <c r="U412" s="27"/>
      <c r="V412" s="27"/>
      <c r="W412" s="27"/>
      <c r="X412" s="27"/>
      <c r="Y412" s="27"/>
      <c r="Z412" s="27"/>
    </row>
    <row r="413" spans="1:26" ht="14.25" customHeight="1" x14ac:dyDescent="0.35">
      <c r="A413" s="83"/>
      <c r="B413" s="381" t="s">
        <v>1125</v>
      </c>
      <c r="C413" s="382"/>
      <c r="D413" s="382"/>
      <c r="E413" s="382"/>
      <c r="F413" s="382"/>
      <c r="G413" s="382"/>
      <c r="H413" s="382"/>
      <c r="I413" s="382"/>
      <c r="J413" s="382"/>
      <c r="K413" s="388"/>
      <c r="L413" s="388"/>
      <c r="M413" s="388"/>
      <c r="N413" s="388"/>
      <c r="O413" s="388"/>
      <c r="P413" s="388"/>
      <c r="Q413" s="390"/>
      <c r="R413" s="95"/>
      <c r="S413" s="97">
        <f t="shared" si="45"/>
        <v>0</v>
      </c>
      <c r="T413" s="27"/>
      <c r="U413" s="27"/>
      <c r="V413" s="27"/>
      <c r="W413" s="27"/>
      <c r="X413" s="27"/>
      <c r="Y413" s="27"/>
      <c r="Z413" s="27"/>
    </row>
    <row r="414" spans="1:26" ht="14.25" customHeight="1" x14ac:dyDescent="0.35">
      <c r="A414" s="83"/>
      <c r="B414" s="112" t="s">
        <v>1521</v>
      </c>
      <c r="C414" s="33" t="s">
        <v>1285</v>
      </c>
      <c r="D414" s="136"/>
      <c r="E414" s="136"/>
      <c r="F414" s="136"/>
      <c r="G414" s="86"/>
      <c r="H414" s="136"/>
      <c r="I414" s="84"/>
      <c r="J414" s="425"/>
      <c r="K414" s="119"/>
      <c r="L414" s="119"/>
      <c r="M414" s="119"/>
      <c r="N414" s="119"/>
      <c r="O414" s="119"/>
      <c r="P414" s="119"/>
      <c r="Q414" s="93"/>
      <c r="R414" s="95">
        <f t="shared" ref="R414:R423" si="46">J414+K414+L414+M414+N414+O414+P414+Q414</f>
        <v>0</v>
      </c>
      <c r="S414" s="97">
        <f t="shared" si="45"/>
        <v>0</v>
      </c>
      <c r="T414" s="27"/>
      <c r="U414" s="27"/>
      <c r="V414" s="27"/>
      <c r="W414" s="27"/>
      <c r="X414" s="27"/>
      <c r="Y414" s="27"/>
      <c r="Z414" s="27"/>
    </row>
    <row r="415" spans="1:26" ht="14.25" customHeight="1" x14ac:dyDescent="0.35">
      <c r="A415" s="83"/>
      <c r="B415" s="47" t="s">
        <v>1145</v>
      </c>
      <c r="C415" s="105" t="s">
        <v>1522</v>
      </c>
      <c r="D415" s="86"/>
      <c r="E415" s="86"/>
      <c r="F415" s="87"/>
      <c r="G415" s="86"/>
      <c r="H415" s="86"/>
      <c r="I415" s="86"/>
      <c r="J415" s="398"/>
      <c r="K415" s="119"/>
      <c r="L415" s="119"/>
      <c r="M415" s="119"/>
      <c r="N415" s="119"/>
      <c r="O415" s="119"/>
      <c r="P415" s="119"/>
      <c r="Q415" s="93"/>
      <c r="R415" s="95">
        <f t="shared" si="46"/>
        <v>0</v>
      </c>
      <c r="S415" s="97">
        <f t="shared" si="45"/>
        <v>0</v>
      </c>
      <c r="T415" s="27"/>
      <c r="U415" s="27"/>
      <c r="V415" s="27"/>
      <c r="W415" s="27"/>
      <c r="X415" s="27"/>
      <c r="Y415" s="27"/>
      <c r="Z415" s="27"/>
    </row>
    <row r="416" spans="1:26" ht="14.25" customHeight="1" x14ac:dyDescent="0.35">
      <c r="A416" s="83"/>
      <c r="B416" s="112" t="s">
        <v>1523</v>
      </c>
      <c r="C416" s="1" t="s">
        <v>542</v>
      </c>
      <c r="D416" s="105"/>
      <c r="E416" s="86"/>
      <c r="F416" s="87"/>
      <c r="G416" s="86"/>
      <c r="H416" s="86"/>
      <c r="I416" s="86"/>
      <c r="J416" s="86"/>
      <c r="K416" s="32"/>
      <c r="L416" s="32"/>
      <c r="M416" s="32"/>
      <c r="N416" s="32"/>
      <c r="O416" s="32"/>
      <c r="P416" s="32"/>
      <c r="Q416" s="93"/>
      <c r="R416" s="95">
        <f t="shared" si="46"/>
        <v>0</v>
      </c>
      <c r="S416" s="97">
        <f t="shared" si="45"/>
        <v>0</v>
      </c>
      <c r="T416" s="27"/>
      <c r="U416" s="27"/>
      <c r="V416" s="27"/>
      <c r="W416" s="27"/>
      <c r="X416" s="27"/>
      <c r="Y416" s="27"/>
      <c r="Z416" s="27"/>
    </row>
    <row r="417" spans="1:26" ht="14.25" customHeight="1" x14ac:dyDescent="0.35">
      <c r="A417" s="83"/>
      <c r="B417" s="112" t="s">
        <v>1524</v>
      </c>
      <c r="C417" s="1" t="s">
        <v>294</v>
      </c>
      <c r="D417" s="105"/>
      <c r="E417" s="86"/>
      <c r="F417" s="87"/>
      <c r="G417" s="86"/>
      <c r="H417" s="86"/>
      <c r="I417" s="86"/>
      <c r="J417" s="398"/>
      <c r="K417" s="119"/>
      <c r="L417" s="119"/>
      <c r="M417" s="119"/>
      <c r="N417" s="119"/>
      <c r="O417" s="119"/>
      <c r="P417" s="119"/>
      <c r="Q417" s="93"/>
      <c r="R417" s="95">
        <f t="shared" si="46"/>
        <v>0</v>
      </c>
      <c r="S417" s="97">
        <f t="shared" si="45"/>
        <v>0</v>
      </c>
      <c r="T417" s="27"/>
      <c r="U417" s="27"/>
      <c r="V417" s="27"/>
      <c r="W417" s="27"/>
      <c r="X417" s="27"/>
      <c r="Y417" s="27"/>
      <c r="Z417" s="27"/>
    </row>
    <row r="418" spans="1:26" ht="14.25" customHeight="1" x14ac:dyDescent="0.35">
      <c r="A418" s="83"/>
      <c r="B418" s="101" t="s">
        <v>1155</v>
      </c>
      <c r="C418" s="1"/>
      <c r="D418" s="105"/>
      <c r="E418" s="86"/>
      <c r="F418" s="87"/>
      <c r="G418" s="86"/>
      <c r="H418" s="86"/>
      <c r="I418" s="86"/>
      <c r="J418" s="398"/>
      <c r="K418" s="119"/>
      <c r="L418" s="119"/>
      <c r="M418" s="119"/>
      <c r="N418" s="119"/>
      <c r="O418" s="119"/>
      <c r="P418" s="119"/>
      <c r="Q418" s="93"/>
      <c r="R418" s="95">
        <f t="shared" si="46"/>
        <v>0</v>
      </c>
      <c r="S418" s="97">
        <f t="shared" si="45"/>
        <v>0</v>
      </c>
      <c r="T418" s="27"/>
      <c r="U418" s="27"/>
      <c r="V418" s="27"/>
      <c r="W418" s="27"/>
      <c r="X418" s="27"/>
      <c r="Y418" s="27"/>
      <c r="Z418" s="27"/>
    </row>
    <row r="419" spans="1:26" ht="14.25" customHeight="1" x14ac:dyDescent="0.35">
      <c r="A419" s="83"/>
      <c r="B419" s="112" t="s">
        <v>1157</v>
      </c>
      <c r="C419" s="1" t="s">
        <v>1526</v>
      </c>
      <c r="D419" s="105"/>
      <c r="E419" s="86"/>
      <c r="F419" s="105"/>
      <c r="G419" s="86"/>
      <c r="H419" s="92"/>
      <c r="I419" s="86"/>
      <c r="J419" s="398"/>
      <c r="K419" s="119"/>
      <c r="L419" s="119"/>
      <c r="M419" s="119"/>
      <c r="N419" s="119"/>
      <c r="O419" s="119"/>
      <c r="P419" s="119"/>
      <c r="Q419" s="93"/>
      <c r="R419" s="95">
        <f t="shared" si="46"/>
        <v>0</v>
      </c>
      <c r="S419" s="97">
        <f t="shared" si="45"/>
        <v>0</v>
      </c>
      <c r="T419" s="27"/>
      <c r="U419" s="27"/>
      <c r="V419" s="27"/>
      <c r="W419" s="27"/>
      <c r="X419" s="27"/>
      <c r="Y419" s="27"/>
      <c r="Z419" s="27"/>
    </row>
    <row r="420" spans="1:26" ht="14.25" customHeight="1" x14ac:dyDescent="0.35">
      <c r="A420" s="83"/>
      <c r="B420" s="112" t="s">
        <v>1149</v>
      </c>
      <c r="C420" s="1" t="s">
        <v>1579</v>
      </c>
      <c r="D420" s="86"/>
      <c r="E420" s="86"/>
      <c r="F420" s="87"/>
      <c r="G420" s="86"/>
      <c r="H420" s="86"/>
      <c r="I420" s="91"/>
      <c r="J420" s="398"/>
      <c r="K420" s="119"/>
      <c r="L420" s="119"/>
      <c r="M420" s="119"/>
      <c r="N420" s="119"/>
      <c r="O420" s="119"/>
      <c r="P420" s="119"/>
      <c r="Q420" s="93"/>
      <c r="R420" s="95">
        <f t="shared" si="46"/>
        <v>0</v>
      </c>
      <c r="S420" s="97">
        <f t="shared" si="45"/>
        <v>0</v>
      </c>
      <c r="T420" s="27"/>
      <c r="U420" s="27"/>
      <c r="V420" s="27"/>
      <c r="W420" s="27"/>
      <c r="X420" s="27"/>
      <c r="Y420" s="27"/>
      <c r="Z420" s="27"/>
    </row>
    <row r="421" spans="1:26" ht="14.25" customHeight="1" x14ac:dyDescent="0.35">
      <c r="A421" s="83"/>
      <c r="B421" s="112" t="s">
        <v>1528</v>
      </c>
      <c r="C421" s="1" t="s">
        <v>1326</v>
      </c>
      <c r="D421" s="105"/>
      <c r="E421" s="86"/>
      <c r="F421" s="105"/>
      <c r="G421" s="86"/>
      <c r="H421" s="92"/>
      <c r="I421" s="86"/>
      <c r="J421" s="398"/>
      <c r="K421" s="119"/>
      <c r="L421" s="119"/>
      <c r="M421" s="119"/>
      <c r="N421" s="119"/>
      <c r="O421" s="119"/>
      <c r="P421" s="119"/>
      <c r="Q421" s="93"/>
      <c r="R421" s="95">
        <f t="shared" si="46"/>
        <v>0</v>
      </c>
      <c r="S421" s="97">
        <f t="shared" si="45"/>
        <v>0</v>
      </c>
      <c r="T421" s="27"/>
      <c r="U421" s="27"/>
      <c r="V421" s="27"/>
      <c r="W421" s="27"/>
      <c r="X421" s="27"/>
      <c r="Y421" s="27"/>
      <c r="Z421" s="27"/>
    </row>
    <row r="422" spans="1:26" ht="14.25" customHeight="1" x14ac:dyDescent="0.35">
      <c r="A422" s="83"/>
      <c r="B422" s="112" t="s">
        <v>1580</v>
      </c>
      <c r="C422" s="1"/>
      <c r="D422" s="105"/>
      <c r="E422" s="86"/>
      <c r="F422" s="105"/>
      <c r="G422" s="86"/>
      <c r="H422" s="92"/>
      <c r="I422" s="86"/>
      <c r="J422" s="86"/>
      <c r="K422" s="32"/>
      <c r="L422" s="32"/>
      <c r="M422" s="32"/>
      <c r="N422" s="32"/>
      <c r="O422" s="32"/>
      <c r="P422" s="32"/>
      <c r="Q422" s="93"/>
      <c r="R422" s="95">
        <f t="shared" si="46"/>
        <v>0</v>
      </c>
      <c r="S422" s="97">
        <f t="shared" si="45"/>
        <v>0</v>
      </c>
      <c r="T422" s="27"/>
      <c r="U422" s="27"/>
      <c r="V422" s="27"/>
      <c r="W422" s="27"/>
      <c r="X422" s="27"/>
      <c r="Y422" s="27"/>
      <c r="Z422" s="27"/>
    </row>
    <row r="423" spans="1:26" ht="14.25" customHeight="1" x14ac:dyDescent="0.35">
      <c r="A423" s="83"/>
      <c r="B423" s="112" t="s">
        <v>1529</v>
      </c>
      <c r="C423" s="1" t="s">
        <v>1530</v>
      </c>
      <c r="D423" s="86"/>
      <c r="E423" s="86"/>
      <c r="F423" s="87"/>
      <c r="G423" s="86"/>
      <c r="H423" s="86"/>
      <c r="I423" s="91"/>
      <c r="J423" s="398"/>
      <c r="K423" s="119"/>
      <c r="L423" s="119"/>
      <c r="M423" s="119"/>
      <c r="N423" s="119"/>
      <c r="O423" s="119"/>
      <c r="P423" s="119"/>
      <c r="Q423" s="93"/>
      <c r="R423" s="95">
        <f t="shared" si="46"/>
        <v>0</v>
      </c>
      <c r="S423" s="97">
        <f t="shared" si="45"/>
        <v>0</v>
      </c>
      <c r="T423" s="27"/>
      <c r="U423" s="27"/>
      <c r="V423" s="27"/>
      <c r="W423" s="27"/>
      <c r="X423" s="27"/>
      <c r="Y423" s="27"/>
      <c r="Z423" s="27"/>
    </row>
    <row r="424" spans="1:26" ht="14.25" customHeight="1" x14ac:dyDescent="0.35">
      <c r="A424" s="60"/>
      <c r="B424" s="312" t="s">
        <v>620</v>
      </c>
      <c r="C424" s="29"/>
      <c r="D424" s="286"/>
      <c r="E424" s="286"/>
      <c r="F424" s="286"/>
      <c r="G424" s="286"/>
      <c r="H424" s="286"/>
      <c r="I424" s="286"/>
      <c r="J424" s="286"/>
      <c r="K424" s="286"/>
      <c r="L424" s="286"/>
      <c r="M424" s="286"/>
      <c r="N424" s="286"/>
      <c r="O424" s="286"/>
      <c r="P424" s="286"/>
      <c r="Q424" s="286"/>
      <c r="R424" s="286">
        <f t="shared" ref="R424:S424" si="47">SUM(R415:R423)</f>
        <v>0</v>
      </c>
      <c r="S424" s="286">
        <f t="shared" si="47"/>
        <v>0</v>
      </c>
      <c r="T424" s="320"/>
      <c r="U424" s="320"/>
      <c r="V424" s="320"/>
      <c r="W424" s="320"/>
      <c r="X424" s="320"/>
      <c r="Y424" s="320"/>
      <c r="Z424" s="320"/>
    </row>
    <row r="425" spans="1:26" ht="14.25" customHeight="1" x14ac:dyDescent="0.35">
      <c r="A425" s="83"/>
      <c r="B425" s="47"/>
      <c r="C425" s="1"/>
      <c r="D425" s="105"/>
      <c r="E425" s="1"/>
      <c r="F425" s="1"/>
      <c r="G425" s="1"/>
      <c r="H425" s="1"/>
      <c r="I425" s="1"/>
      <c r="J425" s="1"/>
      <c r="K425" s="32"/>
      <c r="L425" s="32"/>
      <c r="M425" s="32"/>
      <c r="N425" s="32"/>
      <c r="O425" s="32"/>
      <c r="P425" s="32"/>
      <c r="Q425" s="93"/>
      <c r="R425" s="95"/>
      <c r="S425" s="97"/>
      <c r="T425" s="27"/>
      <c r="U425" s="27"/>
      <c r="V425" s="27"/>
      <c r="W425" s="27"/>
      <c r="X425" s="27"/>
      <c r="Y425" s="27"/>
      <c r="Z425" s="27"/>
    </row>
    <row r="426" spans="1:26" ht="14.25" customHeight="1" x14ac:dyDescent="0.35">
      <c r="A426" s="83"/>
      <c r="B426" s="458" t="s">
        <v>1581</v>
      </c>
      <c r="C426" s="1"/>
      <c r="D426" s="1"/>
      <c r="E426" s="1"/>
      <c r="F426" s="29"/>
      <c r="G426" s="1"/>
      <c r="H426" s="1"/>
      <c r="I426" s="1"/>
      <c r="J426" s="1"/>
      <c r="K426" s="32"/>
      <c r="L426" s="32"/>
      <c r="M426" s="32"/>
      <c r="N426" s="32"/>
      <c r="O426" s="32"/>
      <c r="P426" s="32"/>
      <c r="Q426" s="93"/>
      <c r="R426" s="95">
        <f t="shared" ref="R426:R434" si="48">J426+K426+L426+M426+N426+O426+P426+Q426</f>
        <v>0</v>
      </c>
      <c r="S426" s="97">
        <f t="shared" ref="S426:S434" si="49">D426-R426</f>
        <v>0</v>
      </c>
      <c r="T426" s="27"/>
      <c r="U426" s="27"/>
      <c r="V426" s="27"/>
      <c r="W426" s="27"/>
      <c r="X426" s="27"/>
      <c r="Y426" s="27"/>
      <c r="Z426" s="27"/>
    </row>
    <row r="427" spans="1:26" ht="14.25" customHeight="1" x14ac:dyDescent="0.35">
      <c r="A427" s="83"/>
      <c r="B427" s="112" t="s">
        <v>1432</v>
      </c>
      <c r="C427" s="1" t="s">
        <v>567</v>
      </c>
      <c r="D427" s="136"/>
      <c r="E427" s="86"/>
      <c r="F427" s="87"/>
      <c r="G427" s="86"/>
      <c r="H427" s="86"/>
      <c r="I427" s="86"/>
      <c r="J427" s="86"/>
      <c r="K427" s="32"/>
      <c r="L427" s="32"/>
      <c r="M427" s="32"/>
      <c r="N427" s="32"/>
      <c r="O427" s="32"/>
      <c r="P427" s="32"/>
      <c r="Q427" s="93"/>
      <c r="R427" s="95">
        <f t="shared" si="48"/>
        <v>0</v>
      </c>
      <c r="S427" s="97">
        <f t="shared" si="49"/>
        <v>0</v>
      </c>
      <c r="T427" s="27"/>
      <c r="U427" s="27"/>
      <c r="V427" s="27"/>
      <c r="W427" s="27"/>
      <c r="X427" s="27"/>
      <c r="Y427" s="27"/>
      <c r="Z427" s="27"/>
    </row>
    <row r="428" spans="1:26" ht="15" customHeight="1" x14ac:dyDescent="0.35">
      <c r="A428" s="83" t="s">
        <v>1582</v>
      </c>
      <c r="B428" s="112" t="s">
        <v>1583</v>
      </c>
      <c r="C428" s="33" t="s">
        <v>1584</v>
      </c>
      <c r="D428" s="105"/>
      <c r="E428" s="86"/>
      <c r="F428" s="86"/>
      <c r="G428" s="105"/>
      <c r="H428" s="108"/>
      <c r="I428" s="108"/>
      <c r="J428" s="108"/>
      <c r="K428" s="32"/>
      <c r="L428" s="32"/>
      <c r="M428" s="32"/>
      <c r="N428" s="32"/>
      <c r="O428" s="32"/>
      <c r="P428" s="32"/>
      <c r="Q428" s="93"/>
      <c r="R428" s="95">
        <f t="shared" si="48"/>
        <v>0</v>
      </c>
      <c r="S428" s="97">
        <f t="shared" si="49"/>
        <v>0</v>
      </c>
      <c r="T428" s="27"/>
      <c r="U428" s="27"/>
      <c r="V428" s="27"/>
      <c r="W428" s="27"/>
      <c r="X428" s="27"/>
      <c r="Y428" s="27"/>
      <c r="Z428" s="27"/>
    </row>
    <row r="429" spans="1:26" ht="14.25" customHeight="1" x14ac:dyDescent="0.35">
      <c r="A429" s="83"/>
      <c r="B429" s="112" t="s">
        <v>1585</v>
      </c>
      <c r="C429" s="1" t="s">
        <v>567</v>
      </c>
      <c r="D429" s="136"/>
      <c r="E429" s="86"/>
      <c r="F429" s="87"/>
      <c r="G429" s="86"/>
      <c r="H429" s="86"/>
      <c r="I429" s="86"/>
      <c r="J429" s="86"/>
      <c r="K429" s="32"/>
      <c r="L429" s="32"/>
      <c r="M429" s="32"/>
      <c r="N429" s="32"/>
      <c r="O429" s="32"/>
      <c r="P429" s="32"/>
      <c r="Q429" s="93"/>
      <c r="R429" s="95">
        <f t="shared" si="48"/>
        <v>0</v>
      </c>
      <c r="S429" s="97">
        <f t="shared" si="49"/>
        <v>0</v>
      </c>
      <c r="T429" s="27"/>
      <c r="U429" s="27"/>
      <c r="V429" s="27"/>
      <c r="W429" s="27"/>
      <c r="X429" s="27"/>
      <c r="Y429" s="27"/>
      <c r="Z429" s="27"/>
    </row>
    <row r="430" spans="1:26" ht="14.25" customHeight="1" x14ac:dyDescent="0.35">
      <c r="A430" s="83"/>
      <c r="B430" s="112" t="s">
        <v>1586</v>
      </c>
      <c r="C430" s="1" t="s">
        <v>567</v>
      </c>
      <c r="D430" s="136"/>
      <c r="E430" s="86"/>
      <c r="F430" s="87"/>
      <c r="G430" s="86"/>
      <c r="H430" s="86"/>
      <c r="I430" s="86"/>
      <c r="J430" s="86"/>
      <c r="K430" s="32"/>
      <c r="L430" s="32"/>
      <c r="M430" s="32"/>
      <c r="N430" s="32"/>
      <c r="O430" s="32"/>
      <c r="P430" s="32"/>
      <c r="Q430" s="93"/>
      <c r="R430" s="95">
        <f t="shared" si="48"/>
        <v>0</v>
      </c>
      <c r="S430" s="97">
        <f t="shared" si="49"/>
        <v>0</v>
      </c>
      <c r="T430" s="27"/>
      <c r="U430" s="27"/>
      <c r="V430" s="27"/>
      <c r="W430" s="27"/>
      <c r="X430" s="27"/>
      <c r="Y430" s="27"/>
      <c r="Z430" s="27"/>
    </row>
    <row r="431" spans="1:26" ht="14.25" customHeight="1" x14ac:dyDescent="0.35">
      <c r="A431" s="83"/>
      <c r="B431" s="112" t="s">
        <v>1587</v>
      </c>
      <c r="C431" s="1" t="s">
        <v>1588</v>
      </c>
      <c r="D431" s="105"/>
      <c r="E431" s="86"/>
      <c r="F431" s="87"/>
      <c r="G431" s="86"/>
      <c r="H431" s="86"/>
      <c r="I431" s="86"/>
      <c r="J431" s="86"/>
      <c r="K431" s="32"/>
      <c r="L431" s="32"/>
      <c r="M431" s="32"/>
      <c r="N431" s="32"/>
      <c r="O431" s="32"/>
      <c r="P431" s="32"/>
      <c r="Q431" s="93"/>
      <c r="R431" s="95">
        <f t="shared" si="48"/>
        <v>0</v>
      </c>
      <c r="S431" s="97">
        <f t="shared" si="49"/>
        <v>0</v>
      </c>
      <c r="T431" s="27"/>
      <c r="U431" s="27"/>
      <c r="V431" s="27"/>
      <c r="W431" s="27"/>
      <c r="X431" s="27"/>
      <c r="Y431" s="27"/>
      <c r="Z431" s="27"/>
    </row>
    <row r="432" spans="1:26" ht="14.25" customHeight="1" x14ac:dyDescent="0.35">
      <c r="A432" s="83"/>
      <c r="B432" s="112" t="s">
        <v>1589</v>
      </c>
      <c r="C432" s="1" t="s">
        <v>1588</v>
      </c>
      <c r="D432" s="136"/>
      <c r="E432" s="86"/>
      <c r="F432" s="87"/>
      <c r="G432" s="86"/>
      <c r="H432" s="86"/>
      <c r="I432" s="86"/>
      <c r="J432" s="86"/>
      <c r="K432" s="32"/>
      <c r="L432" s="32"/>
      <c r="M432" s="32"/>
      <c r="N432" s="32"/>
      <c r="O432" s="32"/>
      <c r="P432" s="32"/>
      <c r="Q432" s="93"/>
      <c r="R432" s="95">
        <f t="shared" si="48"/>
        <v>0</v>
      </c>
      <c r="S432" s="97">
        <f t="shared" si="49"/>
        <v>0</v>
      </c>
      <c r="T432" s="27"/>
      <c r="U432" s="27"/>
      <c r="V432" s="27"/>
      <c r="W432" s="27"/>
      <c r="X432" s="27"/>
      <c r="Y432" s="27"/>
      <c r="Z432" s="27"/>
    </row>
    <row r="433" spans="1:26" ht="14.25" customHeight="1" x14ac:dyDescent="0.35">
      <c r="A433" s="83"/>
      <c r="B433" s="112" t="s">
        <v>1590</v>
      </c>
      <c r="C433" s="1" t="s">
        <v>1591</v>
      </c>
      <c r="D433" s="136"/>
      <c r="E433" s="86"/>
      <c r="F433" s="87"/>
      <c r="G433" s="86"/>
      <c r="H433" s="86"/>
      <c r="I433" s="86"/>
      <c r="J433" s="86"/>
      <c r="K433" s="32"/>
      <c r="L433" s="32"/>
      <c r="M433" s="32"/>
      <c r="N433" s="32"/>
      <c r="O433" s="32"/>
      <c r="P433" s="32"/>
      <c r="Q433" s="93"/>
      <c r="R433" s="95">
        <f t="shared" si="48"/>
        <v>0</v>
      </c>
      <c r="S433" s="97">
        <f t="shared" si="49"/>
        <v>0</v>
      </c>
      <c r="T433" s="27"/>
      <c r="U433" s="27"/>
      <c r="V433" s="27"/>
      <c r="W433" s="27"/>
      <c r="X433" s="27"/>
      <c r="Y433" s="27"/>
      <c r="Z433" s="27"/>
    </row>
    <row r="434" spans="1:26" ht="14.25" customHeight="1" x14ac:dyDescent="0.35">
      <c r="A434" s="83"/>
      <c r="B434" s="112" t="s">
        <v>1592</v>
      </c>
      <c r="C434" s="1" t="s">
        <v>567</v>
      </c>
      <c r="D434" s="136"/>
      <c r="E434" s="86"/>
      <c r="F434" s="87"/>
      <c r="G434" s="86"/>
      <c r="H434" s="86"/>
      <c r="I434" s="86"/>
      <c r="J434" s="86"/>
      <c r="K434" s="32"/>
      <c r="L434" s="32"/>
      <c r="M434" s="32"/>
      <c r="N434" s="32"/>
      <c r="O434" s="32"/>
      <c r="P434" s="32"/>
      <c r="Q434" s="93"/>
      <c r="R434" s="95">
        <f t="shared" si="48"/>
        <v>0</v>
      </c>
      <c r="S434" s="97">
        <f t="shared" si="49"/>
        <v>0</v>
      </c>
      <c r="T434" s="27"/>
      <c r="U434" s="27"/>
      <c r="V434" s="27"/>
      <c r="W434" s="27"/>
      <c r="X434" s="27"/>
      <c r="Y434" s="27"/>
      <c r="Z434" s="27"/>
    </row>
    <row r="435" spans="1:26" ht="14.25" customHeight="1" x14ac:dyDescent="0.35">
      <c r="A435" s="60"/>
      <c r="B435" s="356" t="s">
        <v>620</v>
      </c>
      <c r="C435" s="29"/>
      <c r="D435" s="374"/>
      <c r="E435" s="374"/>
      <c r="F435" s="374"/>
      <c r="G435" s="374"/>
      <c r="H435" s="374"/>
      <c r="I435" s="374"/>
      <c r="J435" s="374"/>
      <c r="K435" s="374"/>
      <c r="L435" s="374"/>
      <c r="M435" s="374"/>
      <c r="N435" s="374"/>
      <c r="O435" s="374"/>
      <c r="P435" s="374"/>
      <c r="Q435" s="374"/>
      <c r="R435" s="374">
        <f t="shared" ref="D435:S435" si="50">SUM(R427:R434)</f>
        <v>0</v>
      </c>
      <c r="S435" s="374">
        <f t="shared" si="50"/>
        <v>0</v>
      </c>
      <c r="T435" s="320"/>
      <c r="U435" s="320"/>
      <c r="V435" s="320"/>
      <c r="W435" s="320"/>
      <c r="X435" s="320"/>
      <c r="Y435" s="320"/>
      <c r="Z435" s="320"/>
    </row>
    <row r="436" spans="1:26" ht="17.25" customHeight="1" x14ac:dyDescent="0.35">
      <c r="A436" s="60"/>
      <c r="B436" s="474" t="s">
        <v>752</v>
      </c>
      <c r="C436" s="375"/>
      <c r="D436" s="380"/>
      <c r="E436" s="380"/>
      <c r="F436" s="380"/>
      <c r="G436" s="380"/>
      <c r="H436" s="380"/>
      <c r="I436" s="380"/>
      <c r="J436" s="380"/>
      <c r="K436" s="380"/>
      <c r="L436" s="380"/>
      <c r="M436" s="380"/>
      <c r="N436" s="380"/>
      <c r="O436" s="380"/>
      <c r="P436" s="380"/>
      <c r="Q436" s="380"/>
      <c r="R436" s="380">
        <f t="shared" ref="D436:S436" si="51">R435+R424</f>
        <v>0</v>
      </c>
      <c r="S436" s="380">
        <f t="shared" si="51"/>
        <v>0</v>
      </c>
      <c r="T436" s="320"/>
      <c r="U436" s="320"/>
      <c r="V436" s="320"/>
      <c r="W436" s="320"/>
      <c r="X436" s="320"/>
      <c r="Y436" s="320"/>
      <c r="Z436" s="320"/>
    </row>
    <row r="437" spans="1:26" ht="14.25" customHeight="1" x14ac:dyDescent="0.35">
      <c r="A437" s="83"/>
      <c r="B437" s="47"/>
      <c r="C437" s="1"/>
      <c r="D437" s="1"/>
      <c r="E437" s="1"/>
      <c r="F437" s="1"/>
      <c r="G437" s="1"/>
      <c r="H437" s="1"/>
      <c r="I437" s="1"/>
      <c r="J437" s="1"/>
      <c r="K437" s="32"/>
      <c r="L437" s="32"/>
      <c r="M437" s="32"/>
      <c r="N437" s="32"/>
      <c r="O437" s="32"/>
      <c r="P437" s="32"/>
      <c r="Q437" s="93"/>
      <c r="R437" s="95"/>
      <c r="S437" s="97">
        <f t="shared" ref="S437:S455" si="52">D437-R437</f>
        <v>0</v>
      </c>
      <c r="T437" s="27"/>
      <c r="U437" s="27"/>
      <c r="V437" s="27"/>
      <c r="W437" s="27"/>
      <c r="X437" s="27"/>
      <c r="Y437" s="27"/>
      <c r="Z437" s="27"/>
    </row>
    <row r="438" spans="1:26" ht="14.25" customHeight="1" x14ac:dyDescent="0.35">
      <c r="A438" s="83"/>
      <c r="B438" s="381" t="s">
        <v>1164</v>
      </c>
      <c r="C438" s="382"/>
      <c r="D438" s="382"/>
      <c r="E438" s="382"/>
      <c r="F438" s="382"/>
      <c r="G438" s="382"/>
      <c r="H438" s="382"/>
      <c r="I438" s="382"/>
      <c r="J438" s="382"/>
      <c r="K438" s="388"/>
      <c r="L438" s="388"/>
      <c r="M438" s="388"/>
      <c r="N438" s="388"/>
      <c r="O438" s="388"/>
      <c r="P438" s="388"/>
      <c r="Q438" s="390"/>
      <c r="R438" s="95"/>
      <c r="S438" s="97">
        <f t="shared" si="52"/>
        <v>0</v>
      </c>
      <c r="T438" s="27"/>
      <c r="U438" s="27"/>
      <c r="V438" s="27"/>
      <c r="W438" s="27"/>
      <c r="X438" s="27"/>
      <c r="Y438" s="27"/>
      <c r="Z438" s="27"/>
    </row>
    <row r="439" spans="1:26" ht="14.25" customHeight="1" x14ac:dyDescent="0.35">
      <c r="A439" s="83"/>
      <c r="B439" s="112" t="s">
        <v>1178</v>
      </c>
      <c r="C439" s="33" t="s">
        <v>587</v>
      </c>
      <c r="D439" s="136"/>
      <c r="E439" s="87"/>
      <c r="F439" s="87"/>
      <c r="G439" s="86"/>
      <c r="H439" s="86"/>
      <c r="I439" s="91"/>
      <c r="J439" s="419"/>
      <c r="K439" s="119"/>
      <c r="L439" s="119"/>
      <c r="M439" s="119"/>
      <c r="N439" s="119"/>
      <c r="O439" s="119"/>
      <c r="P439" s="119"/>
      <c r="Q439" s="93"/>
      <c r="R439" s="95">
        <f t="shared" ref="R439:R444" si="53">J439+K439+L439+M439+N439+O439+P439+Q439</f>
        <v>0</v>
      </c>
      <c r="S439" s="97">
        <f t="shared" si="52"/>
        <v>0</v>
      </c>
      <c r="T439" s="27"/>
      <c r="U439" s="27"/>
      <c r="V439" s="27"/>
      <c r="W439" s="27"/>
      <c r="X439" s="27"/>
      <c r="Y439" s="27"/>
      <c r="Z439" s="27"/>
    </row>
    <row r="440" spans="1:26" ht="14.25" customHeight="1" x14ac:dyDescent="0.35">
      <c r="A440" s="83"/>
      <c r="B440" s="112" t="s">
        <v>1167</v>
      </c>
      <c r="C440" s="33" t="s">
        <v>79</v>
      </c>
      <c r="D440" s="136"/>
      <c r="E440" s="87"/>
      <c r="F440" s="87"/>
      <c r="G440" s="86"/>
      <c r="H440" s="86"/>
      <c r="I440" s="91"/>
      <c r="J440" s="419"/>
      <c r="K440" s="119"/>
      <c r="L440" s="119"/>
      <c r="M440" s="119"/>
      <c r="N440" s="119"/>
      <c r="O440" s="119"/>
      <c r="P440" s="119"/>
      <c r="Q440" s="93"/>
      <c r="R440" s="95">
        <f t="shared" si="53"/>
        <v>0</v>
      </c>
      <c r="S440" s="97">
        <f t="shared" si="52"/>
        <v>0</v>
      </c>
      <c r="T440" s="27"/>
      <c r="U440" s="27"/>
      <c r="V440" s="27"/>
      <c r="W440" s="27"/>
      <c r="X440" s="27"/>
      <c r="Y440" s="27"/>
      <c r="Z440" s="27"/>
    </row>
    <row r="441" spans="1:26" ht="14.25" customHeight="1" x14ac:dyDescent="0.35">
      <c r="A441" s="83"/>
      <c r="B441" s="112" t="s">
        <v>1176</v>
      </c>
      <c r="C441" s="33" t="s">
        <v>1593</v>
      </c>
      <c r="D441" s="136"/>
      <c r="E441" s="87"/>
      <c r="F441" s="87"/>
      <c r="G441" s="86"/>
      <c r="H441" s="86"/>
      <c r="I441" s="91"/>
      <c r="J441" s="419"/>
      <c r="K441" s="119"/>
      <c r="L441" s="119"/>
      <c r="M441" s="119"/>
      <c r="N441" s="119"/>
      <c r="O441" s="119"/>
      <c r="P441" s="119"/>
      <c r="Q441" s="93"/>
      <c r="R441" s="95">
        <f t="shared" si="53"/>
        <v>0</v>
      </c>
      <c r="S441" s="97">
        <f t="shared" si="52"/>
        <v>0</v>
      </c>
      <c r="T441" s="27"/>
      <c r="U441" s="27"/>
      <c r="V441" s="27"/>
      <c r="W441" s="27"/>
      <c r="X441" s="27"/>
      <c r="Y441" s="27"/>
      <c r="Z441" s="27"/>
    </row>
    <row r="442" spans="1:26" ht="14.25" customHeight="1" x14ac:dyDescent="0.35">
      <c r="A442" s="83"/>
      <c r="B442" s="112" t="s">
        <v>1173</v>
      </c>
      <c r="C442" s="33" t="s">
        <v>79</v>
      </c>
      <c r="D442" s="136"/>
      <c r="E442" s="87"/>
      <c r="F442" s="87"/>
      <c r="G442" s="86"/>
      <c r="H442" s="86"/>
      <c r="I442" s="91"/>
      <c r="J442" s="419"/>
      <c r="K442" s="119"/>
      <c r="L442" s="119"/>
      <c r="M442" s="119"/>
      <c r="N442" s="119"/>
      <c r="O442" s="119"/>
      <c r="P442" s="119"/>
      <c r="Q442" s="93"/>
      <c r="R442" s="95">
        <f t="shared" si="53"/>
        <v>0</v>
      </c>
      <c r="S442" s="97">
        <f t="shared" si="52"/>
        <v>0</v>
      </c>
      <c r="T442" s="27"/>
      <c r="U442" s="27"/>
      <c r="V442" s="27"/>
      <c r="W442" s="27"/>
      <c r="X442" s="27"/>
      <c r="Y442" s="27"/>
      <c r="Z442" s="27"/>
    </row>
    <row r="443" spans="1:26" ht="14.25" customHeight="1" x14ac:dyDescent="0.35">
      <c r="A443" s="83"/>
      <c r="B443" s="112" t="s">
        <v>1532</v>
      </c>
      <c r="C443" s="33" t="s">
        <v>587</v>
      </c>
      <c r="D443" s="136"/>
      <c r="E443" s="87"/>
      <c r="F443" s="87"/>
      <c r="G443" s="86"/>
      <c r="H443" s="86"/>
      <c r="I443" s="91"/>
      <c r="J443" s="419"/>
      <c r="K443" s="119"/>
      <c r="L443" s="119"/>
      <c r="M443" s="119"/>
      <c r="N443" s="119"/>
      <c r="O443" s="119"/>
      <c r="P443" s="119"/>
      <c r="Q443" s="93"/>
      <c r="R443" s="95">
        <f t="shared" si="53"/>
        <v>0</v>
      </c>
      <c r="S443" s="97">
        <f t="shared" si="52"/>
        <v>0</v>
      </c>
      <c r="T443" s="27"/>
      <c r="U443" s="27"/>
      <c r="V443" s="27"/>
      <c r="W443" s="27"/>
      <c r="X443" s="27"/>
      <c r="Y443" s="27"/>
      <c r="Z443" s="27"/>
    </row>
    <row r="444" spans="1:26" ht="19.5" customHeight="1" x14ac:dyDescent="0.35">
      <c r="A444" s="60"/>
      <c r="B444" s="474" t="s">
        <v>620</v>
      </c>
      <c r="C444" s="475"/>
      <c r="D444" s="380"/>
      <c r="E444" s="380"/>
      <c r="F444" s="380"/>
      <c r="G444" s="380"/>
      <c r="H444" s="380"/>
      <c r="I444" s="380"/>
      <c r="J444" s="380"/>
      <c r="K444" s="476"/>
      <c r="L444" s="476"/>
      <c r="M444" s="476"/>
      <c r="N444" s="476"/>
      <c r="O444" s="476"/>
      <c r="P444" s="476"/>
      <c r="Q444" s="380"/>
      <c r="R444" s="316">
        <f t="shared" si="53"/>
        <v>0</v>
      </c>
      <c r="S444" s="317">
        <f t="shared" si="52"/>
        <v>0</v>
      </c>
      <c r="T444" s="320"/>
      <c r="U444" s="320"/>
      <c r="V444" s="320"/>
      <c r="W444" s="320"/>
      <c r="X444" s="320"/>
      <c r="Y444" s="320"/>
      <c r="Z444" s="320"/>
    </row>
    <row r="445" spans="1:26" ht="14.25" customHeight="1" x14ac:dyDescent="0.35">
      <c r="A445" s="83"/>
      <c r="B445" s="132"/>
      <c r="C445" s="1"/>
      <c r="D445" s="1"/>
      <c r="E445" s="1"/>
      <c r="F445" s="1"/>
      <c r="G445" s="1"/>
      <c r="H445" s="1"/>
      <c r="I445" s="1"/>
      <c r="J445" s="1"/>
      <c r="K445" s="32"/>
      <c r="L445" s="32"/>
      <c r="M445" s="32"/>
      <c r="N445" s="32"/>
      <c r="O445" s="32"/>
      <c r="P445" s="32"/>
      <c r="Q445" s="93"/>
      <c r="R445" s="95"/>
      <c r="S445" s="97">
        <f t="shared" si="52"/>
        <v>0</v>
      </c>
      <c r="T445" s="27"/>
      <c r="U445" s="27"/>
      <c r="V445" s="27"/>
      <c r="W445" s="27"/>
      <c r="X445" s="27"/>
      <c r="Y445" s="27"/>
      <c r="Z445" s="27"/>
    </row>
    <row r="446" spans="1:26" ht="14.25" customHeight="1" x14ac:dyDescent="0.35">
      <c r="A446" s="83"/>
      <c r="B446" s="477" t="s">
        <v>1185</v>
      </c>
      <c r="C446" s="382"/>
      <c r="D446" s="382"/>
      <c r="E446" s="382"/>
      <c r="F446" s="382"/>
      <c r="G446" s="382"/>
      <c r="H446" s="382"/>
      <c r="I446" s="382"/>
      <c r="J446" s="382"/>
      <c r="K446" s="388"/>
      <c r="L446" s="388"/>
      <c r="M446" s="388"/>
      <c r="N446" s="388"/>
      <c r="O446" s="388"/>
      <c r="P446" s="388"/>
      <c r="Q446" s="390"/>
      <c r="R446" s="95"/>
      <c r="S446" s="97">
        <f t="shared" si="52"/>
        <v>0</v>
      </c>
      <c r="T446" s="27"/>
      <c r="U446" s="27"/>
      <c r="V446" s="27"/>
      <c r="W446" s="27"/>
      <c r="X446" s="27"/>
      <c r="Y446" s="27"/>
      <c r="Z446" s="27"/>
    </row>
    <row r="447" spans="1:26" ht="14.25" customHeight="1" x14ac:dyDescent="0.35">
      <c r="A447" s="83"/>
      <c r="B447" s="47" t="s">
        <v>1594</v>
      </c>
      <c r="C447" s="105" t="s">
        <v>1534</v>
      </c>
      <c r="D447" s="86"/>
      <c r="E447" s="86"/>
      <c r="F447" s="87"/>
      <c r="G447" s="86"/>
      <c r="H447" s="86"/>
      <c r="I447" s="86"/>
      <c r="J447" s="419"/>
      <c r="K447" s="119"/>
      <c r="L447" s="119"/>
      <c r="M447" s="119"/>
      <c r="N447" s="119"/>
      <c r="O447" s="119"/>
      <c r="P447" s="119"/>
      <c r="Q447" s="93"/>
      <c r="R447" s="95">
        <f t="shared" ref="R447:R453" si="54">J447+K447+L447+M447+N447+O447+P447+Q447</f>
        <v>0</v>
      </c>
      <c r="S447" s="97">
        <f t="shared" si="52"/>
        <v>0</v>
      </c>
      <c r="T447" s="27"/>
      <c r="U447" s="27"/>
      <c r="V447" s="27"/>
      <c r="W447" s="27"/>
      <c r="X447" s="27"/>
      <c r="Y447" s="27"/>
      <c r="Z447" s="27"/>
    </row>
    <row r="448" spans="1:26" ht="14.25" customHeight="1" x14ac:dyDescent="0.35">
      <c r="A448" s="83"/>
      <c r="B448" s="47" t="s">
        <v>1187</v>
      </c>
      <c r="C448" s="105" t="s">
        <v>1330</v>
      </c>
      <c r="D448" s="86"/>
      <c r="E448" s="86"/>
      <c r="F448" s="87"/>
      <c r="G448" s="86"/>
      <c r="H448" s="86"/>
      <c r="I448" s="86"/>
      <c r="J448" s="419"/>
      <c r="K448" s="119"/>
      <c r="L448" s="119"/>
      <c r="M448" s="119"/>
      <c r="N448" s="119"/>
      <c r="O448" s="119"/>
      <c r="P448" s="119"/>
      <c r="Q448" s="93"/>
      <c r="R448" s="95">
        <f t="shared" si="54"/>
        <v>0</v>
      </c>
      <c r="S448" s="97">
        <f t="shared" si="52"/>
        <v>0</v>
      </c>
      <c r="T448" s="27"/>
      <c r="U448" s="27"/>
      <c r="V448" s="27"/>
      <c r="W448" s="27"/>
      <c r="X448" s="27"/>
      <c r="Y448" s="27"/>
      <c r="Z448" s="27"/>
    </row>
    <row r="449" spans="1:26" ht="14.25" customHeight="1" x14ac:dyDescent="0.35">
      <c r="A449" s="83"/>
      <c r="B449" s="47" t="s">
        <v>1459</v>
      </c>
      <c r="C449" s="105" t="s">
        <v>1595</v>
      </c>
      <c r="D449" s="86"/>
      <c r="E449" s="86"/>
      <c r="F449" s="87"/>
      <c r="G449" s="86"/>
      <c r="H449" s="86"/>
      <c r="I449" s="86"/>
      <c r="J449" s="1"/>
      <c r="K449" s="32"/>
      <c r="L449" s="32"/>
      <c r="M449" s="32"/>
      <c r="N449" s="32"/>
      <c r="O449" s="32"/>
      <c r="P449" s="32"/>
      <c r="Q449" s="93"/>
      <c r="R449" s="95">
        <f t="shared" si="54"/>
        <v>0</v>
      </c>
      <c r="S449" s="97">
        <f t="shared" si="52"/>
        <v>0</v>
      </c>
      <c r="T449" s="27"/>
      <c r="U449" s="27"/>
      <c r="V449" s="27"/>
      <c r="W449" s="27"/>
      <c r="X449" s="27"/>
      <c r="Y449" s="27"/>
      <c r="Z449" s="27"/>
    </row>
    <row r="450" spans="1:26" ht="14.25" customHeight="1" x14ac:dyDescent="0.35">
      <c r="A450" s="83"/>
      <c r="B450" s="47" t="s">
        <v>1189</v>
      </c>
      <c r="C450" s="105" t="s">
        <v>164</v>
      </c>
      <c r="D450" s="86"/>
      <c r="E450" s="86"/>
      <c r="F450" s="87"/>
      <c r="G450" s="86"/>
      <c r="H450" s="86"/>
      <c r="I450" s="86"/>
      <c r="J450" s="419"/>
      <c r="K450" s="119"/>
      <c r="L450" s="119"/>
      <c r="M450" s="119"/>
      <c r="N450" s="119"/>
      <c r="O450" s="119"/>
      <c r="P450" s="119"/>
      <c r="Q450" s="93"/>
      <c r="R450" s="95">
        <f t="shared" si="54"/>
        <v>0</v>
      </c>
      <c r="S450" s="97">
        <f t="shared" si="52"/>
        <v>0</v>
      </c>
      <c r="T450" s="27"/>
      <c r="U450" s="27"/>
      <c r="V450" s="27"/>
      <c r="W450" s="27"/>
      <c r="X450" s="27"/>
      <c r="Y450" s="27"/>
      <c r="Z450" s="27"/>
    </row>
    <row r="451" spans="1:26" ht="14.25" customHeight="1" x14ac:dyDescent="0.35">
      <c r="A451" s="83"/>
      <c r="B451" s="132"/>
      <c r="C451" s="1"/>
      <c r="D451" s="1"/>
      <c r="E451" s="1"/>
      <c r="F451" s="1"/>
      <c r="G451" s="1"/>
      <c r="H451" s="1"/>
      <c r="I451" s="1"/>
      <c r="J451" s="1"/>
      <c r="K451" s="32"/>
      <c r="L451" s="32"/>
      <c r="M451" s="32"/>
      <c r="N451" s="32"/>
      <c r="O451" s="32"/>
      <c r="P451" s="32"/>
      <c r="Q451" s="93"/>
      <c r="R451" s="95">
        <f t="shared" si="54"/>
        <v>0</v>
      </c>
      <c r="S451" s="97">
        <f t="shared" si="52"/>
        <v>0</v>
      </c>
      <c r="T451" s="27"/>
      <c r="U451" s="27"/>
      <c r="V451" s="27"/>
      <c r="W451" s="27"/>
      <c r="X451" s="27"/>
      <c r="Y451" s="27"/>
      <c r="Z451" s="27"/>
    </row>
    <row r="452" spans="1:26" ht="14.25" customHeight="1" x14ac:dyDescent="0.35">
      <c r="A452" s="83"/>
      <c r="B452" s="458" t="s">
        <v>1596</v>
      </c>
      <c r="C452" s="1"/>
      <c r="D452" s="1"/>
      <c r="E452" s="1"/>
      <c r="F452" s="1"/>
      <c r="G452" s="1"/>
      <c r="H452" s="1"/>
      <c r="I452" s="1"/>
      <c r="J452" s="1"/>
      <c r="K452" s="32"/>
      <c r="L452" s="32"/>
      <c r="M452" s="32"/>
      <c r="N452" s="32"/>
      <c r="O452" s="32"/>
      <c r="P452" s="32"/>
      <c r="Q452" s="93"/>
      <c r="R452" s="95">
        <f t="shared" si="54"/>
        <v>0</v>
      </c>
      <c r="S452" s="97">
        <f t="shared" si="52"/>
        <v>0</v>
      </c>
      <c r="T452" s="27"/>
      <c r="U452" s="27"/>
      <c r="V452" s="27"/>
      <c r="W452" s="27"/>
      <c r="X452" s="27"/>
      <c r="Y452" s="27"/>
      <c r="Z452" s="27"/>
    </row>
    <row r="453" spans="1:26" ht="14.25" customHeight="1" x14ac:dyDescent="0.35">
      <c r="A453" s="83"/>
      <c r="B453" s="47" t="s">
        <v>1456</v>
      </c>
      <c r="C453" s="105" t="s">
        <v>1597</v>
      </c>
      <c r="D453" s="86"/>
      <c r="E453" s="86"/>
      <c r="F453" s="87"/>
      <c r="G453" s="1"/>
      <c r="H453" s="1"/>
      <c r="I453" s="1"/>
      <c r="J453" s="1"/>
      <c r="K453" s="32"/>
      <c r="L453" s="32"/>
      <c r="M453" s="32"/>
      <c r="N453" s="32"/>
      <c r="O453" s="32"/>
      <c r="P453" s="32"/>
      <c r="Q453" s="93"/>
      <c r="R453" s="95">
        <f t="shared" si="54"/>
        <v>0</v>
      </c>
      <c r="S453" s="97">
        <f t="shared" si="52"/>
        <v>0</v>
      </c>
      <c r="T453" s="27"/>
      <c r="U453" s="27"/>
      <c r="V453" s="27"/>
      <c r="W453" s="27"/>
      <c r="X453" s="27"/>
      <c r="Y453" s="27"/>
      <c r="Z453" s="27"/>
    </row>
    <row r="454" spans="1:26" ht="14.25" customHeight="1" x14ac:dyDescent="0.35">
      <c r="A454" s="83"/>
      <c r="B454" s="378" t="s">
        <v>620</v>
      </c>
      <c r="C454" s="375"/>
      <c r="D454" s="420"/>
      <c r="E454" s="420"/>
      <c r="F454" s="420"/>
      <c r="G454" s="420"/>
      <c r="H454" s="420"/>
      <c r="I454" s="420"/>
      <c r="J454" s="420"/>
      <c r="K454" s="376"/>
      <c r="L454" s="376"/>
      <c r="M454" s="376"/>
      <c r="N454" s="376"/>
      <c r="O454" s="376"/>
      <c r="P454" s="376"/>
      <c r="Q454" s="420"/>
      <c r="R454" s="105">
        <f t="shared" ref="D454:R454" si="55">SUM(R447:R453)</f>
        <v>0</v>
      </c>
      <c r="S454" s="97">
        <f t="shared" si="52"/>
        <v>0</v>
      </c>
      <c r="T454" s="27"/>
      <c r="U454" s="27"/>
      <c r="V454" s="27"/>
      <c r="W454" s="27"/>
      <c r="X454" s="27"/>
      <c r="Y454" s="27"/>
      <c r="Z454" s="27"/>
    </row>
    <row r="455" spans="1:26" ht="14.25" customHeight="1" x14ac:dyDescent="0.35">
      <c r="A455" s="83"/>
      <c r="B455" s="47"/>
      <c r="C455" s="1"/>
      <c r="D455" s="1"/>
      <c r="E455" s="1"/>
      <c r="F455" s="1"/>
      <c r="G455" s="1"/>
      <c r="H455" s="1"/>
      <c r="I455" s="1"/>
      <c r="J455" s="1"/>
      <c r="K455" s="32"/>
      <c r="L455" s="32"/>
      <c r="M455" s="32"/>
      <c r="N455" s="32"/>
      <c r="O455" s="32"/>
      <c r="P455" s="32"/>
      <c r="Q455" s="93"/>
      <c r="R455" s="95"/>
      <c r="S455" s="97">
        <f t="shared" si="52"/>
        <v>0</v>
      </c>
      <c r="T455" s="27"/>
      <c r="U455" s="27"/>
      <c r="V455" s="27"/>
      <c r="W455" s="27"/>
      <c r="X455" s="27"/>
      <c r="Y455" s="27"/>
      <c r="Z455" s="27"/>
    </row>
    <row r="456" spans="1:26" ht="14.25" customHeight="1" x14ac:dyDescent="0.35">
      <c r="A456" s="83"/>
      <c r="B456" s="47"/>
      <c r="C456" s="1"/>
      <c r="D456" s="1"/>
      <c r="E456" s="1"/>
      <c r="F456" s="1"/>
      <c r="G456" s="1"/>
      <c r="H456" s="1"/>
      <c r="I456" s="1"/>
      <c r="J456" s="1"/>
      <c r="K456" s="32"/>
      <c r="L456" s="32"/>
      <c r="M456" s="32"/>
      <c r="N456" s="32"/>
      <c r="O456" s="32"/>
      <c r="P456" s="32"/>
      <c r="Q456" s="93"/>
      <c r="R456" s="95"/>
      <c r="S456" s="97"/>
      <c r="T456" s="27"/>
      <c r="U456" s="27"/>
      <c r="V456" s="27"/>
      <c r="W456" s="27"/>
      <c r="X456" s="27"/>
      <c r="Y456" s="27"/>
      <c r="Z456" s="27"/>
    </row>
    <row r="457" spans="1:26" ht="14.25" customHeight="1" x14ac:dyDescent="0.35">
      <c r="A457" s="83"/>
      <c r="B457" s="381" t="s">
        <v>1196</v>
      </c>
      <c r="C457" s="382"/>
      <c r="D457" s="382"/>
      <c r="E457" s="382"/>
      <c r="F457" s="382"/>
      <c r="G457" s="382"/>
      <c r="H457" s="382"/>
      <c r="I457" s="382"/>
      <c r="J457" s="382"/>
      <c r="K457" s="388"/>
      <c r="L457" s="388"/>
      <c r="M457" s="388"/>
      <c r="N457" s="388"/>
      <c r="O457" s="388"/>
      <c r="P457" s="388"/>
      <c r="Q457" s="390"/>
      <c r="R457" s="95"/>
      <c r="S457" s="97">
        <f t="shared" ref="S457:S491" si="56">D457-R457</f>
        <v>0</v>
      </c>
      <c r="T457" s="27"/>
      <c r="U457" s="27"/>
      <c r="V457" s="27"/>
      <c r="W457" s="27"/>
      <c r="X457" s="27"/>
      <c r="Y457" s="27"/>
      <c r="Z457" s="27"/>
    </row>
    <row r="458" spans="1:26" ht="14.25" customHeight="1" x14ac:dyDescent="0.35">
      <c r="A458" s="83"/>
      <c r="B458" s="112" t="s">
        <v>1538</v>
      </c>
      <c r="C458" s="1" t="s">
        <v>1598</v>
      </c>
      <c r="D458" s="86"/>
      <c r="E458" s="86"/>
      <c r="F458" s="84"/>
      <c r="G458" s="86"/>
      <c r="H458" s="84"/>
      <c r="I458" s="86"/>
      <c r="J458" s="106"/>
      <c r="K458" s="102"/>
      <c r="L458" s="102"/>
      <c r="M458" s="102"/>
      <c r="N458" s="102"/>
      <c r="O458" s="102"/>
      <c r="P458" s="102"/>
      <c r="Q458" s="93"/>
      <c r="R458" s="95">
        <f t="shared" ref="R458:R473" si="57">J458+K458+L458+M458+N458+O458+P458+Q458</f>
        <v>0</v>
      </c>
      <c r="S458" s="97">
        <f t="shared" si="56"/>
        <v>0</v>
      </c>
      <c r="T458" s="27"/>
      <c r="U458" s="27"/>
      <c r="V458" s="27"/>
      <c r="W458" s="27"/>
      <c r="X458" s="27"/>
      <c r="Y458" s="27"/>
      <c r="Z458" s="27"/>
    </row>
    <row r="459" spans="1:26" ht="14.25" customHeight="1" x14ac:dyDescent="0.35">
      <c r="A459" s="83"/>
      <c r="B459" s="112" t="s">
        <v>1539</v>
      </c>
      <c r="C459" s="33" t="s">
        <v>1540</v>
      </c>
      <c r="D459" s="136"/>
      <c r="E459" s="84"/>
      <c r="F459" s="84"/>
      <c r="G459" s="86"/>
      <c r="H459" s="84"/>
      <c r="I459" s="86"/>
      <c r="J459" s="106"/>
      <c r="K459" s="102"/>
      <c r="L459" s="102"/>
      <c r="M459" s="102"/>
      <c r="N459" s="102"/>
      <c r="O459" s="102"/>
      <c r="P459" s="102"/>
      <c r="Q459" s="93"/>
      <c r="R459" s="95">
        <f t="shared" si="57"/>
        <v>0</v>
      </c>
      <c r="S459" s="97">
        <f t="shared" si="56"/>
        <v>0</v>
      </c>
      <c r="T459" s="27"/>
      <c r="U459" s="27"/>
      <c r="V459" s="27"/>
      <c r="W459" s="27"/>
      <c r="X459" s="27"/>
      <c r="Y459" s="27"/>
      <c r="Z459" s="27"/>
    </row>
    <row r="460" spans="1:26" ht="14.25" customHeight="1" x14ac:dyDescent="0.35">
      <c r="A460" s="83"/>
      <c r="B460" s="112" t="s">
        <v>1541</v>
      </c>
      <c r="C460" s="1" t="s">
        <v>1455</v>
      </c>
      <c r="D460" s="86"/>
      <c r="E460" s="86"/>
      <c r="F460" s="84"/>
      <c r="G460" s="86"/>
      <c r="H460" s="84"/>
      <c r="I460" s="86"/>
      <c r="J460" s="106"/>
      <c r="K460" s="102"/>
      <c r="L460" s="102"/>
      <c r="M460" s="102"/>
      <c r="N460" s="102"/>
      <c r="O460" s="102"/>
      <c r="P460" s="102"/>
      <c r="Q460" s="93"/>
      <c r="R460" s="95">
        <f t="shared" si="57"/>
        <v>0</v>
      </c>
      <c r="S460" s="97">
        <f t="shared" si="56"/>
        <v>0</v>
      </c>
      <c r="T460" s="27"/>
      <c r="U460" s="27"/>
      <c r="V460" s="27"/>
      <c r="W460" s="27"/>
      <c r="X460" s="27"/>
      <c r="Y460" s="27"/>
      <c r="Z460" s="27"/>
    </row>
    <row r="461" spans="1:26" ht="14.25" customHeight="1" x14ac:dyDescent="0.35">
      <c r="A461" s="83"/>
      <c r="B461" s="112" t="s">
        <v>1543</v>
      </c>
      <c r="C461" s="1" t="s">
        <v>1599</v>
      </c>
      <c r="D461" s="86"/>
      <c r="E461" s="86"/>
      <c r="F461" s="84"/>
      <c r="G461" s="86"/>
      <c r="H461" s="84"/>
      <c r="I461" s="86"/>
      <c r="J461" s="86"/>
      <c r="K461" s="32"/>
      <c r="L461" s="32"/>
      <c r="M461" s="32"/>
      <c r="N461" s="32"/>
      <c r="O461" s="32"/>
      <c r="P461" s="32"/>
      <c r="Q461" s="93"/>
      <c r="R461" s="95">
        <f t="shared" si="57"/>
        <v>0</v>
      </c>
      <c r="S461" s="97">
        <f t="shared" si="56"/>
        <v>0</v>
      </c>
      <c r="T461" s="27"/>
      <c r="U461" s="27"/>
      <c r="V461" s="27"/>
      <c r="W461" s="27"/>
      <c r="X461" s="27"/>
      <c r="Y461" s="27"/>
      <c r="Z461" s="27"/>
    </row>
    <row r="462" spans="1:26" ht="14.25" customHeight="1" x14ac:dyDescent="0.35">
      <c r="A462" s="83"/>
      <c r="B462" s="112" t="s">
        <v>1469</v>
      </c>
      <c r="C462" s="1" t="s">
        <v>1600</v>
      </c>
      <c r="D462" s="86"/>
      <c r="E462" s="86"/>
      <c r="F462" s="84"/>
      <c r="G462" s="86"/>
      <c r="H462" s="84"/>
      <c r="I462" s="86"/>
      <c r="J462" s="86"/>
      <c r="K462" s="32"/>
      <c r="L462" s="32"/>
      <c r="M462" s="32"/>
      <c r="N462" s="32"/>
      <c r="O462" s="32"/>
      <c r="P462" s="32"/>
      <c r="Q462" s="93"/>
      <c r="R462" s="95">
        <f t="shared" si="57"/>
        <v>0</v>
      </c>
      <c r="S462" s="97">
        <f t="shared" si="56"/>
        <v>0</v>
      </c>
      <c r="T462" s="27"/>
      <c r="U462" s="27"/>
      <c r="V462" s="27"/>
      <c r="W462" s="27"/>
      <c r="X462" s="27"/>
      <c r="Y462" s="27"/>
      <c r="Z462" s="27"/>
    </row>
    <row r="463" spans="1:26" ht="14.25" customHeight="1" x14ac:dyDescent="0.35">
      <c r="A463" s="83"/>
      <c r="B463" s="47" t="s">
        <v>1601</v>
      </c>
      <c r="C463" s="1" t="s">
        <v>1602</v>
      </c>
      <c r="D463" s="84"/>
      <c r="E463" s="84"/>
      <c r="F463" s="84"/>
      <c r="G463" s="86"/>
      <c r="H463" s="84"/>
      <c r="I463" s="86"/>
      <c r="J463" s="86"/>
      <c r="K463" s="32"/>
      <c r="L463" s="32"/>
      <c r="M463" s="32"/>
      <c r="N463" s="32"/>
      <c r="O463" s="32"/>
      <c r="P463" s="32"/>
      <c r="Q463" s="93"/>
      <c r="R463" s="95">
        <f t="shared" si="57"/>
        <v>0</v>
      </c>
      <c r="S463" s="97">
        <f t="shared" si="56"/>
        <v>0</v>
      </c>
      <c r="T463" s="27"/>
      <c r="U463" s="27"/>
      <c r="V463" s="27"/>
      <c r="W463" s="27"/>
      <c r="X463" s="27"/>
      <c r="Y463" s="27"/>
      <c r="Z463" s="27"/>
    </row>
    <row r="464" spans="1:26" ht="14.25" customHeight="1" x14ac:dyDescent="0.35">
      <c r="A464" s="83"/>
      <c r="B464" s="47" t="s">
        <v>1603</v>
      </c>
      <c r="C464" s="1" t="s">
        <v>1602</v>
      </c>
      <c r="D464" s="84"/>
      <c r="E464" s="84"/>
      <c r="F464" s="84"/>
      <c r="G464" s="86"/>
      <c r="H464" s="84"/>
      <c r="I464" s="86"/>
      <c r="J464" s="84"/>
      <c r="K464" s="32"/>
      <c r="L464" s="32"/>
      <c r="M464" s="32"/>
      <c r="N464" s="32"/>
      <c r="O464" s="32"/>
      <c r="P464" s="32"/>
      <c r="Q464" s="93"/>
      <c r="R464" s="95">
        <f t="shared" si="57"/>
        <v>0</v>
      </c>
      <c r="S464" s="97">
        <f t="shared" si="56"/>
        <v>0</v>
      </c>
      <c r="T464" s="27"/>
      <c r="U464" s="27"/>
      <c r="V464" s="27"/>
      <c r="W464" s="27"/>
      <c r="X464" s="27"/>
      <c r="Y464" s="27"/>
      <c r="Z464" s="27"/>
    </row>
    <row r="465" spans="1:26" ht="14.25" customHeight="1" x14ac:dyDescent="0.35">
      <c r="A465" s="83"/>
      <c r="B465" s="112" t="s">
        <v>1467</v>
      </c>
      <c r="C465" s="1" t="s">
        <v>179</v>
      </c>
      <c r="D465" s="86"/>
      <c r="E465" s="86"/>
      <c r="F465" s="84"/>
      <c r="G465" s="86"/>
      <c r="H465" s="84"/>
      <c r="I465" s="86"/>
      <c r="J465" s="86"/>
      <c r="K465" s="32"/>
      <c r="L465" s="32"/>
      <c r="M465" s="32"/>
      <c r="N465" s="32"/>
      <c r="O465" s="32"/>
      <c r="P465" s="32"/>
      <c r="Q465" s="93"/>
      <c r="R465" s="95">
        <f t="shared" si="57"/>
        <v>0</v>
      </c>
      <c r="S465" s="97">
        <f t="shared" si="56"/>
        <v>0</v>
      </c>
      <c r="T465" s="27"/>
      <c r="U465" s="27"/>
      <c r="V465" s="27"/>
      <c r="W465" s="27"/>
      <c r="X465" s="27"/>
      <c r="Y465" s="27"/>
      <c r="Z465" s="27"/>
    </row>
    <row r="466" spans="1:26" ht="14.25" customHeight="1" x14ac:dyDescent="0.35">
      <c r="A466" s="83"/>
      <c r="B466" s="112" t="s">
        <v>1198</v>
      </c>
      <c r="C466" s="33" t="s">
        <v>1545</v>
      </c>
      <c r="D466" s="136"/>
      <c r="E466" s="84"/>
      <c r="F466" s="84"/>
      <c r="G466" s="86"/>
      <c r="H466" s="84"/>
      <c r="I466" s="86"/>
      <c r="J466" s="106"/>
      <c r="K466" s="102"/>
      <c r="L466" s="102"/>
      <c r="M466" s="102"/>
      <c r="N466" s="102"/>
      <c r="O466" s="102"/>
      <c r="P466" s="102"/>
      <c r="Q466" s="93"/>
      <c r="R466" s="95">
        <f t="shared" si="57"/>
        <v>0</v>
      </c>
      <c r="S466" s="97">
        <f t="shared" si="56"/>
        <v>0</v>
      </c>
      <c r="T466" s="27"/>
      <c r="U466" s="27"/>
      <c r="V466" s="27"/>
      <c r="W466" s="27"/>
      <c r="X466" s="27"/>
      <c r="Y466" s="27"/>
      <c r="Z466" s="27"/>
    </row>
    <row r="467" spans="1:26" ht="14.25" customHeight="1" x14ac:dyDescent="0.35">
      <c r="A467" s="83"/>
      <c r="B467" s="112" t="s">
        <v>1204</v>
      </c>
      <c r="C467" s="1" t="s">
        <v>1547</v>
      </c>
      <c r="D467" s="86"/>
      <c r="E467" s="86"/>
      <c r="F467" s="84"/>
      <c r="G467" s="86"/>
      <c r="H467" s="84"/>
      <c r="I467" s="86"/>
      <c r="J467" s="106"/>
      <c r="K467" s="102"/>
      <c r="L467" s="102"/>
      <c r="M467" s="102"/>
      <c r="N467" s="102"/>
      <c r="O467" s="102"/>
      <c r="P467" s="102"/>
      <c r="Q467" s="93"/>
      <c r="R467" s="95">
        <f t="shared" si="57"/>
        <v>0</v>
      </c>
      <c r="S467" s="97">
        <f t="shared" si="56"/>
        <v>0</v>
      </c>
      <c r="T467" s="27"/>
      <c r="U467" s="27"/>
      <c r="V467" s="27"/>
      <c r="W467" s="27"/>
      <c r="X467" s="27"/>
      <c r="Y467" s="27"/>
      <c r="Z467" s="27"/>
    </row>
    <row r="468" spans="1:26" ht="14.25" customHeight="1" x14ac:dyDescent="0.35">
      <c r="A468" s="83"/>
      <c r="B468" s="112" t="s">
        <v>1548</v>
      </c>
      <c r="C468" s="1" t="s">
        <v>1455</v>
      </c>
      <c r="D468" s="86"/>
      <c r="E468" s="86"/>
      <c r="F468" s="84"/>
      <c r="G468" s="86"/>
      <c r="H468" s="84"/>
      <c r="I468" s="86"/>
      <c r="J468" s="106"/>
      <c r="K468" s="102"/>
      <c r="L468" s="102"/>
      <c r="M468" s="102"/>
      <c r="N468" s="102"/>
      <c r="O468" s="102"/>
      <c r="P468" s="102"/>
      <c r="Q468" s="93"/>
      <c r="R468" s="95">
        <f t="shared" si="57"/>
        <v>0</v>
      </c>
      <c r="S468" s="97">
        <f t="shared" si="56"/>
        <v>0</v>
      </c>
      <c r="T468" s="27"/>
      <c r="U468" s="27"/>
      <c r="V468" s="27"/>
      <c r="W468" s="27"/>
      <c r="X468" s="27"/>
      <c r="Y468" s="27"/>
      <c r="Z468" s="27"/>
    </row>
    <row r="469" spans="1:26" ht="14.25" customHeight="1" x14ac:dyDescent="0.35">
      <c r="A469" s="83"/>
      <c r="B469" s="112" t="s">
        <v>1551</v>
      </c>
      <c r="C469" s="1" t="s">
        <v>1604</v>
      </c>
      <c r="D469" s="86"/>
      <c r="E469" s="86"/>
      <c r="F469" s="84"/>
      <c r="G469" s="86"/>
      <c r="H469" s="84"/>
      <c r="I469" s="86"/>
      <c r="J469" s="106"/>
      <c r="K469" s="102"/>
      <c r="L469" s="102"/>
      <c r="M469" s="102"/>
      <c r="N469" s="102"/>
      <c r="O469" s="102"/>
      <c r="P469" s="102"/>
      <c r="Q469" s="93"/>
      <c r="R469" s="95">
        <f t="shared" si="57"/>
        <v>0</v>
      </c>
      <c r="S469" s="97">
        <f t="shared" si="56"/>
        <v>0</v>
      </c>
      <c r="T469" s="27"/>
      <c r="U469" s="27"/>
      <c r="V469" s="27"/>
      <c r="W469" s="27"/>
      <c r="X469" s="27"/>
      <c r="Y469" s="27"/>
      <c r="Z469" s="27"/>
    </row>
    <row r="470" spans="1:26" ht="14.25" customHeight="1" x14ac:dyDescent="0.35">
      <c r="A470" s="83"/>
      <c r="B470" s="47"/>
      <c r="C470" s="1"/>
      <c r="D470" s="1"/>
      <c r="E470" s="1"/>
      <c r="F470" s="1"/>
      <c r="G470" s="1"/>
      <c r="H470" s="1"/>
      <c r="I470" s="1"/>
      <c r="J470" s="1"/>
      <c r="K470" s="32"/>
      <c r="L470" s="32"/>
      <c r="M470" s="32"/>
      <c r="N470" s="32"/>
      <c r="O470" s="32"/>
      <c r="P470" s="32"/>
      <c r="Q470" s="93"/>
      <c r="R470" s="95">
        <f t="shared" si="57"/>
        <v>0</v>
      </c>
      <c r="S470" s="97">
        <f t="shared" si="56"/>
        <v>0</v>
      </c>
      <c r="T470" s="27"/>
      <c r="U470" s="27"/>
      <c r="V470" s="27"/>
      <c r="W470" s="27"/>
      <c r="X470" s="27"/>
      <c r="Y470" s="27"/>
      <c r="Z470" s="27"/>
    </row>
    <row r="471" spans="1:26" ht="14.25" customHeight="1" x14ac:dyDescent="0.35">
      <c r="A471" s="83"/>
      <c r="B471" s="458" t="s">
        <v>1596</v>
      </c>
      <c r="C471" s="1"/>
      <c r="D471" s="1"/>
      <c r="E471" s="1"/>
      <c r="F471" s="1"/>
      <c r="G471" s="1"/>
      <c r="H471" s="1"/>
      <c r="I471" s="1"/>
      <c r="J471" s="1"/>
      <c r="K471" s="32"/>
      <c r="L471" s="32"/>
      <c r="M471" s="32"/>
      <c r="N471" s="32"/>
      <c r="O471" s="32"/>
      <c r="P471" s="32"/>
      <c r="Q471" s="93"/>
      <c r="R471" s="95">
        <f t="shared" si="57"/>
        <v>0</v>
      </c>
      <c r="S471" s="97">
        <f t="shared" si="56"/>
        <v>0</v>
      </c>
      <c r="T471" s="27"/>
      <c r="U471" s="27"/>
      <c r="V471" s="27"/>
      <c r="W471" s="27"/>
      <c r="X471" s="27"/>
      <c r="Y471" s="27"/>
      <c r="Z471" s="27"/>
    </row>
    <row r="472" spans="1:26" ht="14.25" customHeight="1" x14ac:dyDescent="0.35">
      <c r="A472" s="83"/>
      <c r="B472" s="47" t="s">
        <v>1605</v>
      </c>
      <c r="C472" s="1" t="s">
        <v>567</v>
      </c>
      <c r="D472" s="105"/>
      <c r="E472" s="84"/>
      <c r="F472" s="84"/>
      <c r="G472" s="1"/>
      <c r="H472" s="1"/>
      <c r="I472" s="1"/>
      <c r="J472" s="1"/>
      <c r="K472" s="32"/>
      <c r="L472" s="32"/>
      <c r="M472" s="32"/>
      <c r="N472" s="32"/>
      <c r="O472" s="32"/>
      <c r="P472" s="32"/>
      <c r="Q472" s="93"/>
      <c r="R472" s="95">
        <f t="shared" si="57"/>
        <v>0</v>
      </c>
      <c r="S472" s="97">
        <f t="shared" si="56"/>
        <v>0</v>
      </c>
      <c r="T472" s="27"/>
      <c r="U472" s="27"/>
      <c r="V472" s="27"/>
      <c r="W472" s="27"/>
      <c r="X472" s="27"/>
      <c r="Y472" s="27"/>
      <c r="Z472" s="27"/>
    </row>
    <row r="473" spans="1:26" ht="14.25" customHeight="1" x14ac:dyDescent="0.35">
      <c r="A473" s="83"/>
      <c r="B473" s="47" t="s">
        <v>1606</v>
      </c>
      <c r="C473" s="1" t="s">
        <v>1607</v>
      </c>
      <c r="D473" s="84"/>
      <c r="E473" s="84"/>
      <c r="F473" s="84"/>
      <c r="G473" s="1"/>
      <c r="H473" s="1"/>
      <c r="I473" s="1"/>
      <c r="J473" s="1"/>
      <c r="K473" s="32"/>
      <c r="L473" s="32"/>
      <c r="M473" s="32"/>
      <c r="N473" s="32"/>
      <c r="O473" s="32"/>
      <c r="P473" s="32"/>
      <c r="Q473" s="93"/>
      <c r="R473" s="95">
        <f t="shared" si="57"/>
        <v>0</v>
      </c>
      <c r="S473" s="97">
        <f t="shared" si="56"/>
        <v>0</v>
      </c>
      <c r="T473" s="27"/>
      <c r="U473" s="27"/>
      <c r="V473" s="27"/>
      <c r="W473" s="27"/>
      <c r="X473" s="27"/>
      <c r="Y473" s="27"/>
      <c r="Z473" s="27"/>
    </row>
    <row r="474" spans="1:26" ht="19.5" customHeight="1" x14ac:dyDescent="0.35">
      <c r="A474" s="60"/>
      <c r="B474" s="378" t="s">
        <v>620</v>
      </c>
      <c r="C474" s="375"/>
      <c r="D474" s="420"/>
      <c r="E474" s="420"/>
      <c r="F474" s="420"/>
      <c r="G474" s="420"/>
      <c r="H474" s="420"/>
      <c r="I474" s="420"/>
      <c r="J474" s="420"/>
      <c r="K474" s="376"/>
      <c r="L474" s="376"/>
      <c r="M474" s="376"/>
      <c r="N474" s="376"/>
      <c r="O474" s="376"/>
      <c r="P474" s="376"/>
      <c r="Q474" s="420"/>
      <c r="R474" s="286">
        <f t="shared" ref="D474:R474" si="58">SUM(R458:R473)</f>
        <v>0</v>
      </c>
      <c r="S474" s="317">
        <f t="shared" si="56"/>
        <v>0</v>
      </c>
      <c r="T474" s="320"/>
      <c r="U474" s="320"/>
      <c r="V474" s="320"/>
      <c r="W474" s="320"/>
      <c r="X474" s="320"/>
      <c r="Y474" s="320"/>
      <c r="Z474" s="320"/>
    </row>
    <row r="475" spans="1:26" ht="14.25" customHeight="1" x14ac:dyDescent="0.35">
      <c r="A475" s="83"/>
      <c r="B475" s="47"/>
      <c r="C475" s="1"/>
      <c r="D475" s="1"/>
      <c r="E475" s="1"/>
      <c r="F475" s="1"/>
      <c r="G475" s="1"/>
      <c r="H475" s="1"/>
      <c r="I475" s="1"/>
      <c r="J475" s="1"/>
      <c r="K475" s="32"/>
      <c r="L475" s="32"/>
      <c r="M475" s="32"/>
      <c r="N475" s="32"/>
      <c r="O475" s="32"/>
      <c r="P475" s="32"/>
      <c r="Q475" s="93"/>
      <c r="R475" s="95"/>
      <c r="S475" s="97">
        <f t="shared" si="56"/>
        <v>0</v>
      </c>
      <c r="T475" s="27"/>
      <c r="U475" s="27"/>
      <c r="V475" s="27"/>
      <c r="W475" s="27"/>
      <c r="X475" s="27"/>
      <c r="Y475" s="27"/>
      <c r="Z475" s="27"/>
    </row>
    <row r="476" spans="1:26" ht="14.25" customHeight="1" x14ac:dyDescent="0.35">
      <c r="A476" s="83"/>
      <c r="B476" s="381" t="s">
        <v>1286</v>
      </c>
      <c r="C476" s="382"/>
      <c r="D476" s="382"/>
      <c r="E476" s="382"/>
      <c r="F476" s="382"/>
      <c r="G476" s="382"/>
      <c r="H476" s="382"/>
      <c r="I476" s="382"/>
      <c r="J476" s="382"/>
      <c r="K476" s="388"/>
      <c r="L476" s="388"/>
      <c r="M476" s="388"/>
      <c r="N476" s="388"/>
      <c r="O476" s="388"/>
      <c r="P476" s="388"/>
      <c r="Q476" s="390"/>
      <c r="R476" s="95"/>
      <c r="S476" s="97">
        <f t="shared" si="56"/>
        <v>0</v>
      </c>
      <c r="T476" s="27"/>
      <c r="U476" s="27"/>
      <c r="V476" s="27"/>
      <c r="W476" s="27"/>
      <c r="X476" s="27"/>
      <c r="Y476" s="27"/>
      <c r="Z476" s="27"/>
    </row>
    <row r="477" spans="1:26" ht="14.25" customHeight="1" x14ac:dyDescent="0.35">
      <c r="A477" s="83"/>
      <c r="B477" s="47" t="s">
        <v>1556</v>
      </c>
      <c r="C477" s="1" t="s">
        <v>1557</v>
      </c>
      <c r="D477" s="105"/>
      <c r="E477" s="86"/>
      <c r="F477" s="87"/>
      <c r="G477" s="105"/>
      <c r="H477" s="86"/>
      <c r="I477" s="86"/>
      <c r="J477" s="1"/>
      <c r="K477" s="32"/>
      <c r="L477" s="32"/>
      <c r="M477" s="32"/>
      <c r="N477" s="32"/>
      <c r="O477" s="32"/>
      <c r="P477" s="32"/>
      <c r="Q477" s="93"/>
      <c r="R477" s="95">
        <f t="shared" ref="R477:R486" si="59">J477+K477+L477+M477+N477+O477+P477+Q477</f>
        <v>0</v>
      </c>
      <c r="S477" s="97">
        <f t="shared" si="56"/>
        <v>0</v>
      </c>
      <c r="T477" s="27"/>
      <c r="U477" s="27"/>
      <c r="V477" s="27"/>
      <c r="W477" s="27"/>
      <c r="X477" s="27"/>
      <c r="Y477" s="27"/>
      <c r="Z477" s="27"/>
    </row>
    <row r="478" spans="1:26" ht="14.25" customHeight="1" x14ac:dyDescent="0.35">
      <c r="A478" s="83"/>
      <c r="B478" s="47" t="s">
        <v>1239</v>
      </c>
      <c r="C478" s="1" t="s">
        <v>1558</v>
      </c>
      <c r="D478" s="105"/>
      <c r="E478" s="105"/>
      <c r="F478" s="117"/>
      <c r="G478" s="105"/>
      <c r="H478" s="105"/>
      <c r="I478" s="84"/>
      <c r="J478" s="148"/>
      <c r="K478" s="102"/>
      <c r="L478" s="102"/>
      <c r="M478" s="102"/>
      <c r="N478" s="102"/>
      <c r="O478" s="102"/>
      <c r="P478" s="102"/>
      <c r="Q478" s="93"/>
      <c r="R478" s="95">
        <f t="shared" si="59"/>
        <v>0</v>
      </c>
      <c r="S478" s="97">
        <f t="shared" si="56"/>
        <v>0</v>
      </c>
      <c r="T478" s="27"/>
      <c r="U478" s="27"/>
      <c r="V478" s="27"/>
      <c r="W478" s="27"/>
      <c r="X478" s="27"/>
      <c r="Y478" s="27"/>
      <c r="Z478" s="27"/>
    </row>
    <row r="479" spans="1:26" ht="14.25" customHeight="1" x14ac:dyDescent="0.35">
      <c r="A479" s="83"/>
      <c r="B479" s="47" t="s">
        <v>1235</v>
      </c>
      <c r="C479" s="1" t="s">
        <v>220</v>
      </c>
      <c r="D479" s="105"/>
      <c r="E479" s="105"/>
      <c r="F479" s="117"/>
      <c r="G479" s="105"/>
      <c r="H479" s="105"/>
      <c r="I479" s="84"/>
      <c r="J479" s="148"/>
      <c r="K479" s="102"/>
      <c r="L479" s="102"/>
      <c r="M479" s="102"/>
      <c r="N479" s="102"/>
      <c r="O479" s="102"/>
      <c r="P479" s="102"/>
      <c r="Q479" s="93"/>
      <c r="R479" s="95">
        <f t="shared" si="59"/>
        <v>0</v>
      </c>
      <c r="S479" s="97">
        <f t="shared" si="56"/>
        <v>0</v>
      </c>
      <c r="T479" s="27"/>
      <c r="U479" s="27"/>
      <c r="V479" s="27"/>
      <c r="W479" s="27"/>
      <c r="X479" s="27"/>
      <c r="Y479" s="27"/>
      <c r="Z479" s="27"/>
    </row>
    <row r="480" spans="1:26" ht="14.25" customHeight="1" x14ac:dyDescent="0.35">
      <c r="A480" s="83"/>
      <c r="B480" s="47" t="s">
        <v>1608</v>
      </c>
      <c r="C480" s="1"/>
      <c r="D480" s="105"/>
      <c r="E480" s="86"/>
      <c r="F480" s="87"/>
      <c r="G480" s="105"/>
      <c r="H480" s="86"/>
      <c r="I480" s="86"/>
      <c r="J480" s="148"/>
      <c r="K480" s="102"/>
      <c r="L480" s="102"/>
      <c r="M480" s="102"/>
      <c r="N480" s="102"/>
      <c r="O480" s="102"/>
      <c r="P480" s="102"/>
      <c r="Q480" s="93"/>
      <c r="R480" s="95">
        <f t="shared" si="59"/>
        <v>0</v>
      </c>
      <c r="S480" s="97">
        <f t="shared" si="56"/>
        <v>0</v>
      </c>
      <c r="T480" s="27"/>
      <c r="U480" s="27"/>
      <c r="V480" s="27"/>
      <c r="W480" s="27"/>
      <c r="X480" s="27"/>
      <c r="Y480" s="27"/>
      <c r="Z480" s="27"/>
    </row>
    <row r="481" spans="1:26" ht="14.25" customHeight="1" x14ac:dyDescent="0.35">
      <c r="A481" s="83"/>
      <c r="B481" s="47" t="s">
        <v>1255</v>
      </c>
      <c r="C481" s="1"/>
      <c r="D481" s="105"/>
      <c r="E481" s="86"/>
      <c r="F481" s="87"/>
      <c r="G481" s="105"/>
      <c r="H481" s="86"/>
      <c r="I481" s="86"/>
      <c r="J481" s="148"/>
      <c r="K481" s="102"/>
      <c r="L481" s="102"/>
      <c r="M481" s="102"/>
      <c r="N481" s="102"/>
      <c r="O481" s="102"/>
      <c r="P481" s="102"/>
      <c r="Q481" s="93"/>
      <c r="R481" s="95">
        <f t="shared" si="59"/>
        <v>0</v>
      </c>
      <c r="S481" s="97">
        <f t="shared" si="56"/>
        <v>0</v>
      </c>
      <c r="T481" s="27"/>
      <c r="U481" s="27"/>
      <c r="V481" s="27"/>
      <c r="W481" s="27"/>
      <c r="X481" s="27"/>
      <c r="Y481" s="27"/>
      <c r="Z481" s="27"/>
    </row>
    <row r="482" spans="1:26" ht="14.25" customHeight="1" x14ac:dyDescent="0.35">
      <c r="A482" s="83"/>
      <c r="B482" s="47" t="s">
        <v>1609</v>
      </c>
      <c r="C482" s="1" t="s">
        <v>1610</v>
      </c>
      <c r="D482" s="105"/>
      <c r="E482" s="86"/>
      <c r="F482" s="87"/>
      <c r="G482" s="105"/>
      <c r="H482" s="86"/>
      <c r="I482" s="86"/>
      <c r="J482" s="148"/>
      <c r="K482" s="102"/>
      <c r="L482" s="102"/>
      <c r="M482" s="102"/>
      <c r="N482" s="102"/>
      <c r="O482" s="102"/>
      <c r="P482" s="102"/>
      <c r="Q482" s="93"/>
      <c r="R482" s="95">
        <f t="shared" si="59"/>
        <v>0</v>
      </c>
      <c r="S482" s="97">
        <f t="shared" si="56"/>
        <v>0</v>
      </c>
      <c r="T482" s="27"/>
      <c r="U482" s="27"/>
      <c r="V482" s="27"/>
      <c r="W482" s="27"/>
      <c r="X482" s="27"/>
      <c r="Y482" s="27"/>
      <c r="Z482" s="27"/>
    </row>
    <row r="483" spans="1:26" ht="14.25" customHeight="1" x14ac:dyDescent="0.35">
      <c r="A483" s="83"/>
      <c r="B483" s="47" t="s">
        <v>1563</v>
      </c>
      <c r="C483" s="1"/>
      <c r="D483" s="105"/>
      <c r="E483" s="86"/>
      <c r="F483" s="87"/>
      <c r="G483" s="105"/>
      <c r="H483" s="86"/>
      <c r="I483" s="86"/>
      <c r="J483" s="148"/>
      <c r="K483" s="102"/>
      <c r="L483" s="102"/>
      <c r="M483" s="102"/>
      <c r="N483" s="102"/>
      <c r="O483" s="102"/>
      <c r="P483" s="102"/>
      <c r="Q483" s="93"/>
      <c r="R483" s="95">
        <f t="shared" si="59"/>
        <v>0</v>
      </c>
      <c r="S483" s="97">
        <f t="shared" si="56"/>
        <v>0</v>
      </c>
      <c r="T483" s="27"/>
      <c r="U483" s="27"/>
      <c r="V483" s="27"/>
      <c r="W483" s="27"/>
      <c r="X483" s="27"/>
      <c r="Y483" s="27"/>
      <c r="Z483" s="27"/>
    </row>
    <row r="484" spans="1:26" ht="14.25" customHeight="1" x14ac:dyDescent="0.35">
      <c r="A484" s="83"/>
      <c r="B484" s="47"/>
      <c r="C484" s="1"/>
      <c r="D484" s="1"/>
      <c r="E484" s="1"/>
      <c r="F484" s="1"/>
      <c r="G484" s="1"/>
      <c r="H484" s="1"/>
      <c r="I484" s="1"/>
      <c r="J484" s="1"/>
      <c r="K484" s="32"/>
      <c r="L484" s="32"/>
      <c r="M484" s="32"/>
      <c r="N484" s="32"/>
      <c r="O484" s="32"/>
      <c r="P484" s="32"/>
      <c r="Q484" s="93"/>
      <c r="R484" s="95">
        <f t="shared" si="59"/>
        <v>0</v>
      </c>
      <c r="S484" s="97">
        <f t="shared" si="56"/>
        <v>0</v>
      </c>
      <c r="T484" s="27"/>
      <c r="U484" s="27"/>
      <c r="V484" s="27"/>
      <c r="W484" s="27"/>
      <c r="X484" s="27"/>
      <c r="Y484" s="27"/>
      <c r="Z484" s="27"/>
    </row>
    <row r="485" spans="1:26" ht="14.25" customHeight="1" x14ac:dyDescent="0.35">
      <c r="A485" s="83"/>
      <c r="B485" s="458" t="s">
        <v>1596</v>
      </c>
      <c r="C485" s="1"/>
      <c r="D485" s="1"/>
      <c r="E485" s="1"/>
      <c r="F485" s="1"/>
      <c r="G485" s="1"/>
      <c r="H485" s="1"/>
      <c r="I485" s="1"/>
      <c r="J485" s="1"/>
      <c r="K485" s="32"/>
      <c r="L485" s="32"/>
      <c r="M485" s="32"/>
      <c r="N485" s="32"/>
      <c r="O485" s="32"/>
      <c r="P485" s="32"/>
      <c r="Q485" s="93"/>
      <c r="R485" s="95">
        <f t="shared" si="59"/>
        <v>0</v>
      </c>
      <c r="S485" s="97">
        <f t="shared" si="56"/>
        <v>0</v>
      </c>
      <c r="T485" s="27"/>
      <c r="U485" s="27"/>
      <c r="V485" s="27"/>
      <c r="W485" s="27"/>
      <c r="X485" s="27"/>
      <c r="Y485" s="27"/>
      <c r="Z485" s="27"/>
    </row>
    <row r="486" spans="1:26" ht="14.25" customHeight="1" x14ac:dyDescent="0.35">
      <c r="A486" s="83"/>
      <c r="B486" s="47" t="s">
        <v>1491</v>
      </c>
      <c r="C486" s="1" t="s">
        <v>1611</v>
      </c>
      <c r="D486" s="105"/>
      <c r="E486" s="86"/>
      <c r="F486" s="87"/>
      <c r="G486" s="1"/>
      <c r="H486" s="1"/>
      <c r="I486" s="1"/>
      <c r="J486" s="1"/>
      <c r="K486" s="32"/>
      <c r="L486" s="32"/>
      <c r="M486" s="32"/>
      <c r="N486" s="32"/>
      <c r="O486" s="32"/>
      <c r="P486" s="32"/>
      <c r="Q486" s="93"/>
      <c r="R486" s="95">
        <f t="shared" si="59"/>
        <v>0</v>
      </c>
      <c r="S486" s="97">
        <f t="shared" si="56"/>
        <v>0</v>
      </c>
      <c r="T486" s="27"/>
      <c r="U486" s="27"/>
      <c r="V486" s="27"/>
      <c r="W486" s="27"/>
      <c r="X486" s="27"/>
      <c r="Y486" s="27"/>
      <c r="Z486" s="27"/>
    </row>
    <row r="487" spans="1:26" ht="16.5" customHeight="1" x14ac:dyDescent="0.35">
      <c r="A487" s="83"/>
      <c r="B487" s="378" t="s">
        <v>620</v>
      </c>
      <c r="C487" s="375"/>
      <c r="D487" s="420"/>
      <c r="E487" s="420"/>
      <c r="F487" s="420"/>
      <c r="G487" s="420"/>
      <c r="H487" s="420"/>
      <c r="I487" s="420"/>
      <c r="J487" s="420"/>
      <c r="K487" s="376"/>
      <c r="L487" s="376"/>
      <c r="M487" s="376"/>
      <c r="N487" s="376"/>
      <c r="O487" s="376"/>
      <c r="P487" s="376"/>
      <c r="Q487" s="420"/>
      <c r="R487" s="105">
        <f t="shared" ref="D487:R487" si="60">SUM(R477:R486)</f>
        <v>0</v>
      </c>
      <c r="S487" s="97">
        <f t="shared" si="56"/>
        <v>0</v>
      </c>
      <c r="T487" s="27"/>
      <c r="U487" s="27"/>
      <c r="V487" s="27"/>
      <c r="W487" s="27"/>
      <c r="X487" s="27"/>
      <c r="Y487" s="27"/>
      <c r="Z487" s="27"/>
    </row>
    <row r="488" spans="1:26" ht="14.25" customHeight="1" x14ac:dyDescent="0.35">
      <c r="A488" s="83"/>
      <c r="B488" s="47"/>
      <c r="C488" s="1"/>
      <c r="D488" s="1"/>
      <c r="E488" s="1"/>
      <c r="F488" s="1"/>
      <c r="G488" s="1"/>
      <c r="H488" s="1"/>
      <c r="I488" s="1"/>
      <c r="J488" s="1"/>
      <c r="K488" s="32"/>
      <c r="L488" s="32"/>
      <c r="M488" s="32"/>
      <c r="N488" s="32"/>
      <c r="O488" s="32"/>
      <c r="P488" s="32"/>
      <c r="Q488" s="93"/>
      <c r="R488" s="95"/>
      <c r="S488" s="97">
        <f t="shared" si="56"/>
        <v>0</v>
      </c>
      <c r="T488" s="27"/>
      <c r="U488" s="27"/>
      <c r="V488" s="27"/>
      <c r="W488" s="27"/>
      <c r="X488" s="27"/>
      <c r="Y488" s="27"/>
      <c r="Z488" s="27"/>
    </row>
    <row r="489" spans="1:26" ht="14.25" customHeight="1" x14ac:dyDescent="0.35">
      <c r="A489" s="83"/>
      <c r="B489" s="381" t="s">
        <v>1269</v>
      </c>
      <c r="C489" s="382"/>
      <c r="D489" s="382"/>
      <c r="E489" s="382"/>
      <c r="F489" s="382"/>
      <c r="G489" s="382"/>
      <c r="H489" s="382"/>
      <c r="I489" s="382"/>
      <c r="J489" s="382"/>
      <c r="K489" s="388"/>
      <c r="L489" s="388"/>
      <c r="M489" s="388"/>
      <c r="N489" s="388"/>
      <c r="O489" s="388"/>
      <c r="P489" s="388"/>
      <c r="Q489" s="390"/>
      <c r="R489" s="95"/>
      <c r="S489" s="97">
        <f t="shared" si="56"/>
        <v>0</v>
      </c>
      <c r="T489" s="27"/>
      <c r="U489" s="27"/>
      <c r="V489" s="27"/>
      <c r="W489" s="27"/>
      <c r="X489" s="27"/>
      <c r="Y489" s="27"/>
      <c r="Z489" s="27"/>
    </row>
    <row r="490" spans="1:26" ht="14.25" customHeight="1" x14ac:dyDescent="0.35">
      <c r="A490" s="83"/>
      <c r="B490" s="112" t="s">
        <v>1564</v>
      </c>
      <c r="C490" s="1" t="s">
        <v>1565</v>
      </c>
      <c r="D490" s="105"/>
      <c r="E490" s="86"/>
      <c r="F490" s="105"/>
      <c r="G490" s="86"/>
      <c r="H490" s="92"/>
      <c r="I490" s="86"/>
      <c r="J490" s="398"/>
      <c r="K490" s="119"/>
      <c r="L490" s="119"/>
      <c r="M490" s="119"/>
      <c r="N490" s="119"/>
      <c r="O490" s="119"/>
      <c r="P490" s="119"/>
      <c r="Q490" s="93"/>
      <c r="R490" s="95">
        <f t="shared" ref="R490:R491" si="61">J490+K490+L490+M490+N490+O490+P490+Q490</f>
        <v>0</v>
      </c>
      <c r="S490" s="97">
        <f t="shared" si="56"/>
        <v>0</v>
      </c>
      <c r="T490" s="27"/>
      <c r="U490" s="27"/>
      <c r="V490" s="27"/>
      <c r="W490" s="27"/>
      <c r="X490" s="27"/>
      <c r="Y490" s="27"/>
      <c r="Z490" s="27"/>
    </row>
    <row r="491" spans="1:26" ht="15" customHeight="1" x14ac:dyDescent="0.35">
      <c r="A491" s="83" t="s">
        <v>1612</v>
      </c>
      <c r="B491" s="47" t="s">
        <v>1567</v>
      </c>
      <c r="C491" s="1" t="s">
        <v>1526</v>
      </c>
      <c r="D491" s="84"/>
      <c r="E491" s="86"/>
      <c r="F491" s="87"/>
      <c r="G491" s="86"/>
      <c r="H491" s="86"/>
      <c r="I491" s="91"/>
      <c r="J491" s="116"/>
      <c r="K491" s="102"/>
      <c r="L491" s="102"/>
      <c r="M491" s="102"/>
      <c r="N491" s="102"/>
      <c r="O491" s="102"/>
      <c r="P491" s="102"/>
      <c r="Q491" s="93"/>
      <c r="R491" s="95">
        <f t="shared" si="61"/>
        <v>0</v>
      </c>
      <c r="S491" s="478">
        <f t="shared" si="56"/>
        <v>0</v>
      </c>
      <c r="T491" s="27"/>
      <c r="U491" s="27"/>
      <c r="V491" s="27"/>
      <c r="W491" s="27"/>
      <c r="X491" s="27"/>
      <c r="Y491" s="27"/>
      <c r="Z491" s="27"/>
    </row>
    <row r="492" spans="1:26" ht="14.25" customHeight="1" x14ac:dyDescent="0.35">
      <c r="A492" s="83"/>
      <c r="B492" s="47"/>
      <c r="C492" s="105"/>
      <c r="D492" s="86"/>
      <c r="E492" s="86"/>
      <c r="F492" s="87"/>
      <c r="G492" s="1"/>
      <c r="H492" s="1"/>
      <c r="I492" s="1"/>
      <c r="J492" s="1"/>
      <c r="K492" s="32"/>
      <c r="L492" s="32"/>
      <c r="M492" s="32"/>
      <c r="N492" s="32"/>
      <c r="O492" s="32"/>
      <c r="P492" s="32"/>
      <c r="Q492" s="93"/>
      <c r="R492" s="479"/>
      <c r="S492" s="26"/>
      <c r="T492" s="27"/>
      <c r="U492" s="27"/>
      <c r="V492" s="27"/>
      <c r="W492" s="27"/>
      <c r="X492" s="27"/>
      <c r="Y492" s="27"/>
      <c r="Z492" s="27"/>
    </row>
    <row r="493" spans="1:26" ht="14.25" customHeight="1" x14ac:dyDescent="0.35">
      <c r="A493" s="83"/>
      <c r="B493" s="47"/>
      <c r="C493" s="105"/>
      <c r="D493" s="86"/>
      <c r="E493" s="86"/>
      <c r="F493" s="87"/>
      <c r="G493" s="1"/>
      <c r="H493" s="1"/>
      <c r="I493" s="1"/>
      <c r="J493" s="1"/>
      <c r="K493" s="32"/>
      <c r="L493" s="32"/>
      <c r="M493" s="32"/>
      <c r="N493" s="32"/>
      <c r="O493" s="32"/>
      <c r="P493" s="32"/>
      <c r="Q493" s="93"/>
      <c r="R493" s="479"/>
      <c r="S493" s="26"/>
      <c r="T493" s="27"/>
      <c r="U493" s="27"/>
      <c r="V493" s="27"/>
      <c r="W493" s="27"/>
      <c r="X493" s="27"/>
      <c r="Y493" s="27"/>
      <c r="Z493" s="27"/>
    </row>
    <row r="494" spans="1:26" ht="14.25" customHeight="1" x14ac:dyDescent="0.35">
      <c r="A494" s="60"/>
      <c r="B494" s="378" t="s">
        <v>620</v>
      </c>
      <c r="C494" s="375"/>
      <c r="D494" s="420"/>
      <c r="E494" s="420"/>
      <c r="F494" s="420"/>
      <c r="G494" s="420"/>
      <c r="H494" s="420"/>
      <c r="I494" s="420"/>
      <c r="J494" s="420"/>
      <c r="K494" s="420"/>
      <c r="L494" s="420"/>
      <c r="M494" s="420"/>
      <c r="N494" s="420"/>
      <c r="O494" s="420"/>
      <c r="P494" s="420"/>
      <c r="Q494" s="420"/>
      <c r="R494" s="95">
        <f>J494+K494+L494+M494+N494+O494+P494+Q494</f>
        <v>0</v>
      </c>
      <c r="S494" s="480"/>
      <c r="T494" s="320"/>
      <c r="U494" s="320"/>
      <c r="V494" s="320"/>
      <c r="W494" s="320"/>
      <c r="X494" s="320"/>
      <c r="Y494" s="320"/>
      <c r="Z494" s="320"/>
    </row>
    <row r="495" spans="1:26" ht="14.25" customHeight="1" x14ac:dyDescent="0.35">
      <c r="A495" s="83"/>
      <c r="B495" s="47"/>
      <c r="C495" s="1"/>
      <c r="D495" s="1"/>
      <c r="E495" s="1"/>
      <c r="F495" s="1"/>
      <c r="G495" s="1"/>
      <c r="H495" s="1"/>
      <c r="I495" s="1"/>
      <c r="J495" s="1"/>
      <c r="K495" s="32"/>
      <c r="L495" s="32"/>
      <c r="M495" s="32"/>
      <c r="N495" s="32"/>
      <c r="O495" s="32"/>
      <c r="P495" s="32"/>
      <c r="Q495" s="93"/>
      <c r="R495" s="95"/>
      <c r="S495" s="97">
        <f t="shared" ref="S495:S505" si="62">D495-R495</f>
        <v>0</v>
      </c>
      <c r="T495" s="27"/>
      <c r="U495" s="27"/>
      <c r="V495" s="27"/>
      <c r="W495" s="27"/>
      <c r="X495" s="27"/>
      <c r="Y495" s="27"/>
      <c r="Z495" s="27"/>
    </row>
    <row r="496" spans="1:26" ht="14.25" customHeight="1" x14ac:dyDescent="0.35">
      <c r="A496" s="83"/>
      <c r="B496" s="47"/>
      <c r="C496" s="1"/>
      <c r="D496" s="1"/>
      <c r="E496" s="1"/>
      <c r="F496" s="1"/>
      <c r="G496" s="1"/>
      <c r="H496" s="1"/>
      <c r="I496" s="1"/>
      <c r="J496" s="1"/>
      <c r="K496" s="32"/>
      <c r="L496" s="32"/>
      <c r="M496" s="32"/>
      <c r="N496" s="32"/>
      <c r="O496" s="32"/>
      <c r="P496" s="32"/>
      <c r="Q496" s="93"/>
      <c r="R496" s="95"/>
      <c r="S496" s="97">
        <f t="shared" si="62"/>
        <v>0</v>
      </c>
      <c r="T496" s="27"/>
      <c r="U496" s="27"/>
      <c r="V496" s="27"/>
      <c r="W496" s="27"/>
      <c r="X496" s="27"/>
      <c r="Y496" s="27"/>
      <c r="Z496" s="27"/>
    </row>
    <row r="497" spans="1:26" ht="14.25" customHeight="1" x14ac:dyDescent="0.35">
      <c r="A497" s="83"/>
      <c r="B497" s="381" t="s">
        <v>1495</v>
      </c>
      <c r="C497" s="382"/>
      <c r="D497" s="382"/>
      <c r="E497" s="382"/>
      <c r="F497" s="382"/>
      <c r="G497" s="382"/>
      <c r="H497" s="382"/>
      <c r="I497" s="382"/>
      <c r="J497" s="382"/>
      <c r="K497" s="388"/>
      <c r="L497" s="388"/>
      <c r="M497" s="388"/>
      <c r="N497" s="388"/>
      <c r="O497" s="388"/>
      <c r="P497" s="388"/>
      <c r="Q497" s="390"/>
      <c r="R497" s="95"/>
      <c r="S497" s="97">
        <f t="shared" si="62"/>
        <v>0</v>
      </c>
      <c r="T497" s="27"/>
      <c r="U497" s="27"/>
      <c r="V497" s="27"/>
      <c r="W497" s="27"/>
      <c r="X497" s="27"/>
      <c r="Y497" s="27"/>
      <c r="Z497" s="27"/>
    </row>
    <row r="498" spans="1:26" ht="14.25" customHeight="1" x14ac:dyDescent="0.35">
      <c r="A498" s="83"/>
      <c r="B498" s="47" t="s">
        <v>920</v>
      </c>
      <c r="C498" s="26"/>
      <c r="D498" s="136"/>
      <c r="E498" s="136"/>
      <c r="F498" s="136"/>
      <c r="G498" s="86"/>
      <c r="H498" s="136"/>
      <c r="I498" s="86"/>
      <c r="J498" s="1"/>
      <c r="K498" s="32"/>
      <c r="L498" s="32"/>
      <c r="M498" s="32"/>
      <c r="N498" s="32"/>
      <c r="O498" s="32"/>
      <c r="P498" s="32"/>
      <c r="Q498" s="93"/>
      <c r="R498" s="95">
        <f t="shared" ref="R498:R504" si="63">J498+K498+L498+M498+N498+O498+P498+Q498</f>
        <v>0</v>
      </c>
      <c r="S498" s="97">
        <f t="shared" si="62"/>
        <v>0</v>
      </c>
      <c r="T498" s="27"/>
      <c r="U498" s="27"/>
      <c r="V498" s="27"/>
      <c r="W498" s="27"/>
      <c r="X498" s="27"/>
      <c r="Y498" s="27"/>
      <c r="Z498" s="27"/>
    </row>
    <row r="499" spans="1:26" ht="14.25" customHeight="1" x14ac:dyDescent="0.35">
      <c r="A499" s="83"/>
      <c r="B499" s="47" t="s">
        <v>1458</v>
      </c>
      <c r="C499" s="26"/>
      <c r="D499" s="136"/>
      <c r="E499" s="136"/>
      <c r="F499" s="136"/>
      <c r="G499" s="86"/>
      <c r="H499" s="136"/>
      <c r="I499" s="86"/>
      <c r="J499" s="1"/>
      <c r="K499" s="32"/>
      <c r="L499" s="32"/>
      <c r="M499" s="32"/>
      <c r="N499" s="32"/>
      <c r="O499" s="32"/>
      <c r="P499" s="32"/>
      <c r="Q499" s="93"/>
      <c r="R499" s="95">
        <f t="shared" si="63"/>
        <v>0</v>
      </c>
      <c r="S499" s="97">
        <f t="shared" si="62"/>
        <v>0</v>
      </c>
      <c r="T499" s="27"/>
      <c r="U499" s="27"/>
      <c r="V499" s="27"/>
      <c r="W499" s="27"/>
      <c r="X499" s="27"/>
      <c r="Y499" s="27"/>
      <c r="Z499" s="27"/>
    </row>
    <row r="500" spans="1:26" ht="14.25" customHeight="1" x14ac:dyDescent="0.35">
      <c r="A500" s="83"/>
      <c r="B500" s="47" t="s">
        <v>1463</v>
      </c>
      <c r="C500" s="26"/>
      <c r="D500" s="136"/>
      <c r="E500" s="136"/>
      <c r="F500" s="136"/>
      <c r="G500" s="86"/>
      <c r="H500" s="136"/>
      <c r="I500" s="86"/>
      <c r="J500" s="1"/>
      <c r="K500" s="32"/>
      <c r="L500" s="32"/>
      <c r="M500" s="32"/>
      <c r="N500" s="32"/>
      <c r="O500" s="32"/>
      <c r="P500" s="32"/>
      <c r="Q500" s="93"/>
      <c r="R500" s="95">
        <f t="shared" si="63"/>
        <v>0</v>
      </c>
      <c r="S500" s="97">
        <f t="shared" si="62"/>
        <v>0</v>
      </c>
      <c r="T500" s="27"/>
      <c r="U500" s="27"/>
      <c r="V500" s="27"/>
      <c r="W500" s="27"/>
      <c r="X500" s="27"/>
      <c r="Y500" s="27"/>
      <c r="Z500" s="27"/>
    </row>
    <row r="501" spans="1:26" ht="14.25" customHeight="1" x14ac:dyDescent="0.35">
      <c r="A501" s="83"/>
      <c r="B501" s="47" t="s">
        <v>1613</v>
      </c>
      <c r="C501" s="26"/>
      <c r="D501" s="136"/>
      <c r="E501" s="136"/>
      <c r="F501" s="136"/>
      <c r="G501" s="86"/>
      <c r="H501" s="136"/>
      <c r="I501" s="86"/>
      <c r="J501" s="1"/>
      <c r="K501" s="32"/>
      <c r="L501" s="32"/>
      <c r="M501" s="32"/>
      <c r="N501" s="32"/>
      <c r="O501" s="32"/>
      <c r="P501" s="32"/>
      <c r="Q501" s="93"/>
      <c r="R501" s="95">
        <f t="shared" si="63"/>
        <v>0</v>
      </c>
      <c r="S501" s="97">
        <f t="shared" si="62"/>
        <v>0</v>
      </c>
      <c r="T501" s="27"/>
      <c r="U501" s="27"/>
      <c r="V501" s="27"/>
      <c r="W501" s="27"/>
      <c r="X501" s="27"/>
      <c r="Y501" s="27"/>
      <c r="Z501" s="27"/>
    </row>
    <row r="502" spans="1:26" ht="14.25" customHeight="1" x14ac:dyDescent="0.35">
      <c r="A502" s="83"/>
      <c r="B502" s="47" t="s">
        <v>1486</v>
      </c>
      <c r="C502" s="26"/>
      <c r="D502" s="136"/>
      <c r="E502" s="136"/>
      <c r="F502" s="136"/>
      <c r="G502" s="86"/>
      <c r="H502" s="136"/>
      <c r="I502" s="86"/>
      <c r="J502" s="1"/>
      <c r="K502" s="32"/>
      <c r="L502" s="32"/>
      <c r="M502" s="32"/>
      <c r="N502" s="32"/>
      <c r="O502" s="32"/>
      <c r="P502" s="32"/>
      <c r="Q502" s="93"/>
      <c r="R502" s="95">
        <f t="shared" si="63"/>
        <v>0</v>
      </c>
      <c r="S502" s="97">
        <f t="shared" si="62"/>
        <v>0</v>
      </c>
      <c r="T502" s="27"/>
      <c r="U502" s="27"/>
      <c r="V502" s="27"/>
      <c r="W502" s="27"/>
      <c r="X502" s="27"/>
      <c r="Y502" s="27"/>
      <c r="Z502" s="27"/>
    </row>
    <row r="503" spans="1:26" ht="14.25" customHeight="1" x14ac:dyDescent="0.35">
      <c r="A503" s="83"/>
      <c r="B503" s="47" t="s">
        <v>1492</v>
      </c>
      <c r="C503" s="26"/>
      <c r="D503" s="136"/>
      <c r="E503" s="136"/>
      <c r="F503" s="136"/>
      <c r="G503" s="86"/>
      <c r="H503" s="136"/>
      <c r="I503" s="86"/>
      <c r="J503" s="1"/>
      <c r="K503" s="32"/>
      <c r="L503" s="32"/>
      <c r="M503" s="32"/>
      <c r="N503" s="32"/>
      <c r="O503" s="32"/>
      <c r="P503" s="32"/>
      <c r="Q503" s="93"/>
      <c r="R503" s="95">
        <f t="shared" si="63"/>
        <v>0</v>
      </c>
      <c r="S503" s="97">
        <f t="shared" si="62"/>
        <v>0</v>
      </c>
      <c r="T503" s="27"/>
      <c r="U503" s="27"/>
      <c r="V503" s="27"/>
      <c r="W503" s="27"/>
      <c r="X503" s="27"/>
      <c r="Y503" s="27"/>
      <c r="Z503" s="27"/>
    </row>
    <row r="504" spans="1:26" ht="14.25" customHeight="1" x14ac:dyDescent="0.35">
      <c r="A504" s="83"/>
      <c r="B504" s="47" t="s">
        <v>1500</v>
      </c>
      <c r="C504" s="26"/>
      <c r="D504" s="136"/>
      <c r="E504" s="136"/>
      <c r="F504" s="136"/>
      <c r="G504" s="86"/>
      <c r="H504" s="136"/>
      <c r="I504" s="86"/>
      <c r="J504" s="1"/>
      <c r="K504" s="32"/>
      <c r="L504" s="32"/>
      <c r="M504" s="32"/>
      <c r="N504" s="32"/>
      <c r="O504" s="32"/>
      <c r="P504" s="32"/>
      <c r="Q504" s="93"/>
      <c r="R504" s="95">
        <f t="shared" si="63"/>
        <v>0</v>
      </c>
      <c r="S504" s="97">
        <f t="shared" si="62"/>
        <v>0</v>
      </c>
      <c r="T504" s="27"/>
      <c r="U504" s="27"/>
      <c r="V504" s="27"/>
      <c r="W504" s="27"/>
      <c r="X504" s="27"/>
      <c r="Y504" s="27"/>
      <c r="Z504" s="27"/>
    </row>
    <row r="505" spans="1:26" ht="14.25" customHeight="1" x14ac:dyDescent="0.35">
      <c r="A505" s="83"/>
      <c r="B505" s="378" t="s">
        <v>620</v>
      </c>
      <c r="C505" s="375"/>
      <c r="D505" s="438"/>
      <c r="E505" s="438"/>
      <c r="F505" s="438"/>
      <c r="G505" s="438"/>
      <c r="H505" s="438"/>
      <c r="I505" s="438"/>
      <c r="J505" s="438"/>
      <c r="K505" s="376"/>
      <c r="L505" s="376"/>
      <c r="M505" s="376"/>
      <c r="N505" s="376"/>
      <c r="O505" s="376"/>
      <c r="P505" s="376"/>
      <c r="Q505" s="438"/>
      <c r="R505" s="438">
        <f t="shared" ref="D505:R505" si="64">SUM(R498:R504)</f>
        <v>0</v>
      </c>
      <c r="S505" s="97">
        <f t="shared" si="62"/>
        <v>0</v>
      </c>
      <c r="T505" s="27"/>
      <c r="U505" s="27"/>
      <c r="V505" s="27"/>
      <c r="W505" s="27"/>
      <c r="X505" s="27"/>
      <c r="Y505" s="27"/>
      <c r="Z505" s="27"/>
    </row>
    <row r="506" spans="1:26" ht="14.25" customHeight="1" x14ac:dyDescent="0.35">
      <c r="A506" s="83"/>
      <c r="B506" s="47"/>
      <c r="C506" s="1"/>
      <c r="D506" s="1"/>
      <c r="E506" s="1"/>
      <c r="F506" s="1"/>
      <c r="G506" s="1"/>
      <c r="H506" s="1"/>
      <c r="I506" s="1"/>
      <c r="J506" s="1"/>
      <c r="K506" s="32"/>
      <c r="L506" s="32"/>
      <c r="M506" s="32"/>
      <c r="N506" s="32"/>
      <c r="O506" s="32"/>
      <c r="P506" s="32"/>
      <c r="Q506" s="34"/>
      <c r="R506" s="25"/>
      <c r="S506" s="26"/>
      <c r="T506" s="27"/>
      <c r="U506" s="27"/>
      <c r="V506" s="27"/>
      <c r="W506" s="27"/>
      <c r="X506" s="27"/>
      <c r="Y506" s="27"/>
      <c r="Z506" s="27"/>
    </row>
    <row r="507" spans="1:26" ht="14.25" customHeight="1" x14ac:dyDescent="0.35">
      <c r="A507" s="481"/>
      <c r="B507" s="482"/>
      <c r="C507" s="483"/>
      <c r="D507" s="483"/>
      <c r="E507" s="483"/>
      <c r="F507" s="483"/>
      <c r="G507" s="483"/>
      <c r="H507" s="483"/>
      <c r="I507" s="483"/>
      <c r="J507" s="483"/>
      <c r="K507" s="484"/>
      <c r="L507" s="484"/>
      <c r="M507" s="484"/>
      <c r="N507" s="484"/>
      <c r="O507" s="484"/>
      <c r="P507" s="484"/>
      <c r="Q507" s="485"/>
      <c r="R507" s="25"/>
      <c r="S507" s="26"/>
      <c r="T507" s="27"/>
      <c r="U507" s="27"/>
      <c r="V507" s="27"/>
      <c r="W507" s="27"/>
      <c r="X507" s="27"/>
      <c r="Y507" s="27"/>
      <c r="Z507" s="27"/>
    </row>
    <row r="508" spans="1:26" ht="14.25" customHeight="1" x14ac:dyDescent="0.35">
      <c r="A508" s="248"/>
      <c r="B508" s="248"/>
      <c r="C508" s="248"/>
      <c r="D508" s="248"/>
      <c r="E508" s="248"/>
      <c r="F508" s="248"/>
      <c r="G508" s="248"/>
      <c r="H508" s="248"/>
      <c r="I508" s="248"/>
      <c r="J508" s="248"/>
      <c r="K508" s="486"/>
      <c r="L508" s="486"/>
      <c r="M508" s="486"/>
      <c r="N508" s="486"/>
      <c r="O508" s="486"/>
      <c r="P508" s="486"/>
      <c r="Q508" s="487"/>
      <c r="R508" s="26"/>
      <c r="S508" s="26"/>
      <c r="T508" s="27"/>
      <c r="U508" s="27"/>
      <c r="V508" s="27"/>
      <c r="W508" s="27"/>
      <c r="X508" s="27"/>
      <c r="Y508" s="27"/>
      <c r="Z508" s="27"/>
    </row>
    <row r="509" spans="1:26" ht="14.25" customHeight="1" x14ac:dyDescent="0.3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488"/>
      <c r="L509" s="488"/>
      <c r="M509" s="488"/>
      <c r="N509" s="488"/>
      <c r="O509" s="488"/>
      <c r="P509" s="488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4.25" customHeight="1" x14ac:dyDescent="0.3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488"/>
      <c r="L510" s="488"/>
      <c r="M510" s="488"/>
      <c r="N510" s="488"/>
      <c r="O510" s="488"/>
      <c r="P510" s="488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4.25" customHeight="1" x14ac:dyDescent="0.3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488"/>
      <c r="L511" s="488"/>
      <c r="M511" s="488"/>
      <c r="N511" s="488"/>
      <c r="O511" s="488"/>
      <c r="P511" s="488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4.25" customHeight="1" x14ac:dyDescent="0.3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488"/>
      <c r="L512" s="488"/>
      <c r="M512" s="488"/>
      <c r="N512" s="488"/>
      <c r="O512" s="488"/>
      <c r="P512" s="488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4.25" customHeight="1" x14ac:dyDescent="0.3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488"/>
      <c r="L513" s="488"/>
      <c r="M513" s="488"/>
      <c r="N513" s="488"/>
      <c r="O513" s="488"/>
      <c r="P513" s="488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4.25" customHeight="1" x14ac:dyDescent="0.3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488"/>
      <c r="L514" s="488"/>
      <c r="M514" s="488"/>
      <c r="N514" s="488"/>
      <c r="O514" s="488"/>
      <c r="P514" s="488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4.25" customHeight="1" x14ac:dyDescent="0.3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488"/>
      <c r="L515" s="488"/>
      <c r="M515" s="488"/>
      <c r="N515" s="488"/>
      <c r="O515" s="488"/>
      <c r="P515" s="488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4.25" customHeight="1" x14ac:dyDescent="0.3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488"/>
      <c r="L516" s="488"/>
      <c r="M516" s="488"/>
      <c r="N516" s="488"/>
      <c r="O516" s="488"/>
      <c r="P516" s="488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4.25" customHeight="1" x14ac:dyDescent="0.3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488"/>
      <c r="L517" s="488"/>
      <c r="M517" s="488"/>
      <c r="N517" s="488"/>
      <c r="O517" s="488"/>
      <c r="P517" s="488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4.25" customHeight="1" x14ac:dyDescent="0.3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488"/>
      <c r="L518" s="488"/>
      <c r="M518" s="488"/>
      <c r="N518" s="488"/>
      <c r="O518" s="488"/>
      <c r="P518" s="488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4.25" customHeight="1" x14ac:dyDescent="0.3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488"/>
      <c r="L519" s="488"/>
      <c r="M519" s="488"/>
      <c r="N519" s="488"/>
      <c r="O519" s="488"/>
      <c r="P519" s="488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4.25" customHeight="1" x14ac:dyDescent="0.3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488"/>
      <c r="L520" s="488"/>
      <c r="M520" s="488"/>
      <c r="N520" s="488"/>
      <c r="O520" s="488"/>
      <c r="P520" s="488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4.25" customHeight="1" x14ac:dyDescent="0.3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488"/>
      <c r="L521" s="488"/>
      <c r="M521" s="488"/>
      <c r="N521" s="488"/>
      <c r="O521" s="488"/>
      <c r="P521" s="488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4.25" customHeight="1" x14ac:dyDescent="0.3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488"/>
      <c r="L522" s="488"/>
      <c r="M522" s="488"/>
      <c r="N522" s="488"/>
      <c r="O522" s="488"/>
      <c r="P522" s="488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4.25" customHeight="1" x14ac:dyDescent="0.3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488"/>
      <c r="L523" s="488"/>
      <c r="M523" s="488"/>
      <c r="N523" s="488"/>
      <c r="O523" s="488"/>
      <c r="P523" s="488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4.25" customHeight="1" x14ac:dyDescent="0.3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488"/>
      <c r="L524" s="488"/>
      <c r="M524" s="488"/>
      <c r="N524" s="488"/>
      <c r="O524" s="488"/>
      <c r="P524" s="488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4.25" customHeight="1" x14ac:dyDescent="0.3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488"/>
      <c r="L525" s="488"/>
      <c r="M525" s="488"/>
      <c r="N525" s="488"/>
      <c r="O525" s="488"/>
      <c r="P525" s="488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4.25" customHeight="1" x14ac:dyDescent="0.3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488"/>
      <c r="L526" s="488"/>
      <c r="M526" s="488"/>
      <c r="N526" s="488"/>
      <c r="O526" s="488"/>
      <c r="P526" s="488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4.25" customHeight="1" x14ac:dyDescent="0.3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488"/>
      <c r="L527" s="488"/>
      <c r="M527" s="488"/>
      <c r="N527" s="488"/>
      <c r="O527" s="488"/>
      <c r="P527" s="488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4.25" customHeight="1" x14ac:dyDescent="0.3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488"/>
      <c r="L528" s="488"/>
      <c r="M528" s="488"/>
      <c r="N528" s="488"/>
      <c r="O528" s="488"/>
      <c r="P528" s="488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4.25" customHeight="1" x14ac:dyDescent="0.3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488"/>
      <c r="L529" s="488"/>
      <c r="M529" s="488"/>
      <c r="N529" s="488"/>
      <c r="O529" s="488"/>
      <c r="P529" s="488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5.75" customHeight="1" x14ac:dyDescent="0.35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488"/>
      <c r="L530" s="488"/>
      <c r="M530" s="488"/>
      <c r="N530" s="488"/>
      <c r="O530" s="488"/>
      <c r="P530" s="488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5.75" customHeight="1" x14ac:dyDescent="0.35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488"/>
      <c r="L531" s="488"/>
      <c r="M531" s="488"/>
      <c r="N531" s="488"/>
      <c r="O531" s="488"/>
      <c r="P531" s="488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5.75" customHeight="1" x14ac:dyDescent="0.35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488"/>
      <c r="L532" s="488"/>
      <c r="M532" s="488"/>
      <c r="N532" s="488"/>
      <c r="O532" s="488"/>
      <c r="P532" s="488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5.75" customHeight="1" x14ac:dyDescent="0.35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488"/>
      <c r="L533" s="488"/>
      <c r="M533" s="488"/>
      <c r="N533" s="488"/>
      <c r="O533" s="488"/>
      <c r="P533" s="488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5.75" customHeight="1" x14ac:dyDescent="0.35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488"/>
      <c r="L534" s="488"/>
      <c r="M534" s="488"/>
      <c r="N534" s="488"/>
      <c r="O534" s="488"/>
      <c r="P534" s="488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5.75" customHeight="1" x14ac:dyDescent="0.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488"/>
      <c r="L535" s="488"/>
      <c r="M535" s="488"/>
      <c r="N535" s="488"/>
      <c r="O535" s="488"/>
      <c r="P535" s="488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5.75" customHeight="1" x14ac:dyDescent="0.35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488"/>
      <c r="L536" s="488"/>
      <c r="M536" s="488"/>
      <c r="N536" s="488"/>
      <c r="O536" s="488"/>
      <c r="P536" s="488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5.75" customHeight="1" x14ac:dyDescent="0.35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488"/>
      <c r="L537" s="488"/>
      <c r="M537" s="488"/>
      <c r="N537" s="488"/>
      <c r="O537" s="488"/>
      <c r="P537" s="488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5.75" customHeight="1" x14ac:dyDescent="0.35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488"/>
      <c r="L538" s="488"/>
      <c r="M538" s="488"/>
      <c r="N538" s="488"/>
      <c r="O538" s="488"/>
      <c r="P538" s="488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5.75" customHeight="1" x14ac:dyDescent="0.35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488"/>
      <c r="L539" s="488"/>
      <c r="M539" s="488"/>
      <c r="N539" s="488"/>
      <c r="O539" s="488"/>
      <c r="P539" s="488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5.75" customHeight="1" x14ac:dyDescent="0.35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488"/>
      <c r="L540" s="488"/>
      <c r="M540" s="488"/>
      <c r="N540" s="488"/>
      <c r="O540" s="488"/>
      <c r="P540" s="488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5.75" customHeight="1" x14ac:dyDescent="0.35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488"/>
      <c r="L541" s="488"/>
      <c r="M541" s="488"/>
      <c r="N541" s="488"/>
      <c r="O541" s="488"/>
      <c r="P541" s="488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5.75" customHeight="1" x14ac:dyDescent="0.35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488"/>
      <c r="L542" s="488"/>
      <c r="M542" s="488"/>
      <c r="N542" s="488"/>
      <c r="O542" s="488"/>
      <c r="P542" s="488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5.75" customHeight="1" x14ac:dyDescent="0.35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488"/>
      <c r="L543" s="488"/>
      <c r="M543" s="488"/>
      <c r="N543" s="488"/>
      <c r="O543" s="488"/>
      <c r="P543" s="488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5.75" customHeight="1" x14ac:dyDescent="0.35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488"/>
      <c r="L544" s="488"/>
      <c r="M544" s="488"/>
      <c r="N544" s="488"/>
      <c r="O544" s="488"/>
      <c r="P544" s="488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5.75" customHeight="1" x14ac:dyDescent="0.3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488"/>
      <c r="L545" s="488"/>
      <c r="M545" s="488"/>
      <c r="N545" s="488"/>
      <c r="O545" s="488"/>
      <c r="P545" s="488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5.75" customHeight="1" x14ac:dyDescent="0.35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488"/>
      <c r="L546" s="488"/>
      <c r="M546" s="488"/>
      <c r="N546" s="488"/>
      <c r="O546" s="488"/>
      <c r="P546" s="488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5.75" customHeight="1" x14ac:dyDescent="0.35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488"/>
      <c r="L547" s="488"/>
      <c r="M547" s="488"/>
      <c r="N547" s="488"/>
      <c r="O547" s="488"/>
      <c r="P547" s="488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5.75" customHeight="1" x14ac:dyDescent="0.35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488"/>
      <c r="L548" s="488"/>
      <c r="M548" s="488"/>
      <c r="N548" s="488"/>
      <c r="O548" s="488"/>
      <c r="P548" s="488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5.75" customHeight="1" x14ac:dyDescent="0.35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488"/>
      <c r="L549" s="488"/>
      <c r="M549" s="488"/>
      <c r="N549" s="488"/>
      <c r="O549" s="488"/>
      <c r="P549" s="488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5.75" customHeight="1" x14ac:dyDescent="0.35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488"/>
      <c r="L550" s="488"/>
      <c r="M550" s="488"/>
      <c r="N550" s="488"/>
      <c r="O550" s="488"/>
      <c r="P550" s="488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5.75" customHeight="1" x14ac:dyDescent="0.35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488"/>
      <c r="L551" s="488"/>
      <c r="M551" s="488"/>
      <c r="N551" s="488"/>
      <c r="O551" s="488"/>
      <c r="P551" s="488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5.75" customHeight="1" x14ac:dyDescent="0.35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488"/>
      <c r="L552" s="488"/>
      <c r="M552" s="488"/>
      <c r="N552" s="488"/>
      <c r="O552" s="488"/>
      <c r="P552" s="488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5.75" customHeight="1" x14ac:dyDescent="0.35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488"/>
      <c r="L553" s="488"/>
      <c r="M553" s="488"/>
      <c r="N553" s="488"/>
      <c r="O553" s="488"/>
      <c r="P553" s="488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5.75" customHeight="1" x14ac:dyDescent="0.35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488"/>
      <c r="L554" s="488"/>
      <c r="M554" s="488"/>
      <c r="N554" s="488"/>
      <c r="O554" s="488"/>
      <c r="P554" s="488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5.75" customHeight="1" x14ac:dyDescent="0.3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488"/>
      <c r="L555" s="488"/>
      <c r="M555" s="488"/>
      <c r="N555" s="488"/>
      <c r="O555" s="488"/>
      <c r="P555" s="488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5.75" customHeight="1" x14ac:dyDescent="0.35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488"/>
      <c r="L556" s="488"/>
      <c r="M556" s="488"/>
      <c r="N556" s="488"/>
      <c r="O556" s="488"/>
      <c r="P556" s="488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5.75" customHeight="1" x14ac:dyDescent="0.35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488"/>
      <c r="L557" s="488"/>
      <c r="M557" s="488"/>
      <c r="N557" s="488"/>
      <c r="O557" s="488"/>
      <c r="P557" s="488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5.75" customHeight="1" x14ac:dyDescent="0.35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488"/>
      <c r="L558" s="488"/>
      <c r="M558" s="488"/>
      <c r="N558" s="488"/>
      <c r="O558" s="488"/>
      <c r="P558" s="488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5.75" customHeight="1" x14ac:dyDescent="0.35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488"/>
      <c r="L559" s="488"/>
      <c r="M559" s="488"/>
      <c r="N559" s="488"/>
      <c r="O559" s="488"/>
      <c r="P559" s="488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5.75" customHeight="1" x14ac:dyDescent="0.35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488"/>
      <c r="L560" s="488"/>
      <c r="M560" s="488"/>
      <c r="N560" s="488"/>
      <c r="O560" s="488"/>
      <c r="P560" s="488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5.75" customHeight="1" x14ac:dyDescent="0.35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488"/>
      <c r="L561" s="488"/>
      <c r="M561" s="488"/>
      <c r="N561" s="488"/>
      <c r="O561" s="488"/>
      <c r="P561" s="488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5.75" customHeight="1" x14ac:dyDescent="0.35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488"/>
      <c r="L562" s="488"/>
      <c r="M562" s="488"/>
      <c r="N562" s="488"/>
      <c r="O562" s="488"/>
      <c r="P562" s="488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5.75" customHeight="1" x14ac:dyDescent="0.35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488"/>
      <c r="L563" s="488"/>
      <c r="M563" s="488"/>
      <c r="N563" s="488"/>
      <c r="O563" s="488"/>
      <c r="P563" s="488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5.75" customHeight="1" x14ac:dyDescent="0.35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488"/>
      <c r="L564" s="488"/>
      <c r="M564" s="488"/>
      <c r="N564" s="488"/>
      <c r="O564" s="488"/>
      <c r="P564" s="488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5.75" customHeight="1" x14ac:dyDescent="0.3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488"/>
      <c r="L565" s="488"/>
      <c r="M565" s="488"/>
      <c r="N565" s="488"/>
      <c r="O565" s="488"/>
      <c r="P565" s="488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5.75" customHeight="1" x14ac:dyDescent="0.35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488"/>
      <c r="L566" s="488"/>
      <c r="M566" s="488"/>
      <c r="N566" s="488"/>
      <c r="O566" s="488"/>
      <c r="P566" s="488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5.75" customHeight="1" x14ac:dyDescent="0.35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488"/>
      <c r="L567" s="488"/>
      <c r="M567" s="488"/>
      <c r="N567" s="488"/>
      <c r="O567" s="488"/>
      <c r="P567" s="488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5.75" customHeight="1" x14ac:dyDescent="0.35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488"/>
      <c r="L568" s="488"/>
      <c r="M568" s="488"/>
      <c r="N568" s="488"/>
      <c r="O568" s="488"/>
      <c r="P568" s="488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5.75" customHeight="1" x14ac:dyDescent="0.35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488"/>
      <c r="L569" s="488"/>
      <c r="M569" s="488"/>
      <c r="N569" s="488"/>
      <c r="O569" s="488"/>
      <c r="P569" s="488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5.75" customHeight="1" x14ac:dyDescent="0.35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488"/>
      <c r="L570" s="488"/>
      <c r="M570" s="488"/>
      <c r="N570" s="488"/>
      <c r="O570" s="488"/>
      <c r="P570" s="488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5.75" customHeight="1" x14ac:dyDescent="0.35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488"/>
      <c r="L571" s="488"/>
      <c r="M571" s="488"/>
      <c r="N571" s="488"/>
      <c r="O571" s="488"/>
      <c r="P571" s="488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5.75" customHeight="1" x14ac:dyDescent="0.35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488"/>
      <c r="L572" s="488"/>
      <c r="M572" s="488"/>
      <c r="N572" s="488"/>
      <c r="O572" s="488"/>
      <c r="P572" s="488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5.75" customHeight="1" x14ac:dyDescent="0.35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488"/>
      <c r="L573" s="488"/>
      <c r="M573" s="488"/>
      <c r="N573" s="488"/>
      <c r="O573" s="488"/>
      <c r="P573" s="488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5.75" customHeight="1" x14ac:dyDescent="0.35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488"/>
      <c r="L574" s="488"/>
      <c r="M574" s="488"/>
      <c r="N574" s="488"/>
      <c r="O574" s="488"/>
      <c r="P574" s="488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5.75" customHeight="1" x14ac:dyDescent="0.3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488"/>
      <c r="L575" s="488"/>
      <c r="M575" s="488"/>
      <c r="N575" s="488"/>
      <c r="O575" s="488"/>
      <c r="P575" s="488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5.75" customHeight="1" x14ac:dyDescent="0.35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488"/>
      <c r="L576" s="488"/>
      <c r="M576" s="488"/>
      <c r="N576" s="488"/>
      <c r="O576" s="488"/>
      <c r="P576" s="488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5.75" customHeight="1" x14ac:dyDescent="0.35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488"/>
      <c r="L577" s="488"/>
      <c r="M577" s="488"/>
      <c r="N577" s="488"/>
      <c r="O577" s="488"/>
      <c r="P577" s="488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5.75" customHeight="1" x14ac:dyDescent="0.35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488"/>
      <c r="L578" s="488"/>
      <c r="M578" s="488"/>
      <c r="N578" s="488"/>
      <c r="O578" s="488"/>
      <c r="P578" s="488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5.75" customHeight="1" x14ac:dyDescent="0.35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488"/>
      <c r="L579" s="488"/>
      <c r="M579" s="488"/>
      <c r="N579" s="488"/>
      <c r="O579" s="488"/>
      <c r="P579" s="488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5.75" customHeight="1" x14ac:dyDescent="0.35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488"/>
      <c r="L580" s="488"/>
      <c r="M580" s="488"/>
      <c r="N580" s="488"/>
      <c r="O580" s="488"/>
      <c r="P580" s="488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5.75" customHeight="1" x14ac:dyDescent="0.35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488"/>
      <c r="L581" s="488"/>
      <c r="M581" s="488"/>
      <c r="N581" s="488"/>
      <c r="O581" s="488"/>
      <c r="P581" s="488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5.75" customHeight="1" x14ac:dyDescent="0.35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488"/>
      <c r="L582" s="488"/>
      <c r="M582" s="488"/>
      <c r="N582" s="488"/>
      <c r="O582" s="488"/>
      <c r="P582" s="488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5.75" customHeight="1" x14ac:dyDescent="0.35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488"/>
      <c r="L583" s="488"/>
      <c r="M583" s="488"/>
      <c r="N583" s="488"/>
      <c r="O583" s="488"/>
      <c r="P583" s="488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5.75" customHeight="1" x14ac:dyDescent="0.35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488"/>
      <c r="L584" s="488"/>
      <c r="M584" s="488"/>
      <c r="N584" s="488"/>
      <c r="O584" s="488"/>
      <c r="P584" s="488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5.75" customHeight="1" x14ac:dyDescent="0.3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488"/>
      <c r="L585" s="488"/>
      <c r="M585" s="488"/>
      <c r="N585" s="488"/>
      <c r="O585" s="488"/>
      <c r="P585" s="488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5.75" customHeight="1" x14ac:dyDescent="0.35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488"/>
      <c r="L586" s="488"/>
      <c r="M586" s="488"/>
      <c r="N586" s="488"/>
      <c r="O586" s="488"/>
      <c r="P586" s="488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5.75" customHeight="1" x14ac:dyDescent="0.35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488"/>
      <c r="L587" s="488"/>
      <c r="M587" s="488"/>
      <c r="N587" s="488"/>
      <c r="O587" s="488"/>
      <c r="P587" s="488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5.75" customHeight="1" x14ac:dyDescent="0.35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488"/>
      <c r="L588" s="488"/>
      <c r="M588" s="488"/>
      <c r="N588" s="488"/>
      <c r="O588" s="488"/>
      <c r="P588" s="488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5.75" customHeight="1" x14ac:dyDescent="0.35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488"/>
      <c r="L589" s="488"/>
      <c r="M589" s="488"/>
      <c r="N589" s="488"/>
      <c r="O589" s="488"/>
      <c r="P589" s="488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5.75" customHeight="1" x14ac:dyDescent="0.35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488"/>
      <c r="L590" s="488"/>
      <c r="M590" s="488"/>
      <c r="N590" s="488"/>
      <c r="O590" s="488"/>
      <c r="P590" s="488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5.75" customHeight="1" x14ac:dyDescent="0.35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488"/>
      <c r="L591" s="488"/>
      <c r="M591" s="488"/>
      <c r="N591" s="488"/>
      <c r="O591" s="488"/>
      <c r="P591" s="488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5.75" customHeight="1" x14ac:dyDescent="0.35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488"/>
      <c r="L592" s="488"/>
      <c r="M592" s="488"/>
      <c r="N592" s="488"/>
      <c r="O592" s="488"/>
      <c r="P592" s="488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5.75" customHeight="1" x14ac:dyDescent="0.35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488"/>
      <c r="L593" s="488"/>
      <c r="M593" s="488"/>
      <c r="N593" s="488"/>
      <c r="O593" s="488"/>
      <c r="P593" s="488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5.75" customHeight="1" x14ac:dyDescent="0.35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488"/>
      <c r="L594" s="488"/>
      <c r="M594" s="488"/>
      <c r="N594" s="488"/>
      <c r="O594" s="488"/>
      <c r="P594" s="488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5.75" customHeight="1" x14ac:dyDescent="0.3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488"/>
      <c r="L595" s="488"/>
      <c r="M595" s="488"/>
      <c r="N595" s="488"/>
      <c r="O595" s="488"/>
      <c r="P595" s="488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5.75" customHeight="1" x14ac:dyDescent="0.35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488"/>
      <c r="L596" s="488"/>
      <c r="M596" s="488"/>
      <c r="N596" s="488"/>
      <c r="O596" s="488"/>
      <c r="P596" s="488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5.75" customHeight="1" x14ac:dyDescent="0.35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488"/>
      <c r="L597" s="488"/>
      <c r="M597" s="488"/>
      <c r="N597" s="488"/>
      <c r="O597" s="488"/>
      <c r="P597" s="488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5.75" customHeight="1" x14ac:dyDescent="0.35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488"/>
      <c r="L598" s="488"/>
      <c r="M598" s="488"/>
      <c r="N598" s="488"/>
      <c r="O598" s="488"/>
      <c r="P598" s="488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5.75" customHeight="1" x14ac:dyDescent="0.35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488"/>
      <c r="L599" s="488"/>
      <c r="M599" s="488"/>
      <c r="N599" s="488"/>
      <c r="O599" s="488"/>
      <c r="P599" s="488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5.75" customHeight="1" x14ac:dyDescent="0.35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488"/>
      <c r="L600" s="488"/>
      <c r="M600" s="488"/>
      <c r="N600" s="488"/>
      <c r="O600" s="488"/>
      <c r="P600" s="488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5.75" customHeight="1" x14ac:dyDescent="0.35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488"/>
      <c r="L601" s="488"/>
      <c r="M601" s="488"/>
      <c r="N601" s="488"/>
      <c r="O601" s="488"/>
      <c r="P601" s="488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5.75" customHeight="1" x14ac:dyDescent="0.35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488"/>
      <c r="L602" s="488"/>
      <c r="M602" s="488"/>
      <c r="N602" s="488"/>
      <c r="O602" s="488"/>
      <c r="P602" s="488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5.75" customHeight="1" x14ac:dyDescent="0.35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488"/>
      <c r="L603" s="488"/>
      <c r="M603" s="488"/>
      <c r="N603" s="488"/>
      <c r="O603" s="488"/>
      <c r="P603" s="488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5.75" customHeight="1" x14ac:dyDescent="0.35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488"/>
      <c r="L604" s="488"/>
      <c r="M604" s="488"/>
      <c r="N604" s="488"/>
      <c r="O604" s="488"/>
      <c r="P604" s="488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5.75" customHeight="1" x14ac:dyDescent="0.3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488"/>
      <c r="L605" s="488"/>
      <c r="M605" s="488"/>
      <c r="N605" s="488"/>
      <c r="O605" s="488"/>
      <c r="P605" s="488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5.75" customHeight="1" x14ac:dyDescent="0.35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488"/>
      <c r="L606" s="488"/>
      <c r="M606" s="488"/>
      <c r="N606" s="488"/>
      <c r="O606" s="488"/>
      <c r="P606" s="488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5.75" customHeight="1" x14ac:dyDescent="0.35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488"/>
      <c r="L607" s="488"/>
      <c r="M607" s="488"/>
      <c r="N607" s="488"/>
      <c r="O607" s="488"/>
      <c r="P607" s="488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5.75" customHeight="1" x14ac:dyDescent="0.35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488"/>
      <c r="L608" s="488"/>
      <c r="M608" s="488"/>
      <c r="N608" s="488"/>
      <c r="O608" s="488"/>
      <c r="P608" s="488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5.75" customHeight="1" x14ac:dyDescent="0.35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488"/>
      <c r="L609" s="488"/>
      <c r="M609" s="488"/>
      <c r="N609" s="488"/>
      <c r="O609" s="488"/>
      <c r="P609" s="488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5.75" customHeight="1" x14ac:dyDescent="0.35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488"/>
      <c r="L610" s="488"/>
      <c r="M610" s="488"/>
      <c r="N610" s="488"/>
      <c r="O610" s="488"/>
      <c r="P610" s="488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5.75" customHeight="1" x14ac:dyDescent="0.35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488"/>
      <c r="L611" s="488"/>
      <c r="M611" s="488"/>
      <c r="N611" s="488"/>
      <c r="O611" s="488"/>
      <c r="P611" s="488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5.75" customHeight="1" x14ac:dyDescent="0.35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488"/>
      <c r="L612" s="488"/>
      <c r="M612" s="488"/>
      <c r="N612" s="488"/>
      <c r="O612" s="488"/>
      <c r="P612" s="488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5.75" customHeight="1" x14ac:dyDescent="0.35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488"/>
      <c r="L613" s="488"/>
      <c r="M613" s="488"/>
      <c r="N613" s="488"/>
      <c r="O613" s="488"/>
      <c r="P613" s="488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5.75" customHeight="1" x14ac:dyDescent="0.35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488"/>
      <c r="L614" s="488"/>
      <c r="M614" s="488"/>
      <c r="N614" s="488"/>
      <c r="O614" s="488"/>
      <c r="P614" s="488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5.75" customHeight="1" x14ac:dyDescent="0.3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488"/>
      <c r="L615" s="488"/>
      <c r="M615" s="488"/>
      <c r="N615" s="488"/>
      <c r="O615" s="488"/>
      <c r="P615" s="488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5.75" customHeight="1" x14ac:dyDescent="0.35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488"/>
      <c r="L616" s="488"/>
      <c r="M616" s="488"/>
      <c r="N616" s="488"/>
      <c r="O616" s="488"/>
      <c r="P616" s="488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5.75" customHeight="1" x14ac:dyDescent="0.35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488"/>
      <c r="L617" s="488"/>
      <c r="M617" s="488"/>
      <c r="N617" s="488"/>
      <c r="O617" s="488"/>
      <c r="P617" s="488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5.75" customHeight="1" x14ac:dyDescent="0.35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488"/>
      <c r="L618" s="488"/>
      <c r="M618" s="488"/>
      <c r="N618" s="488"/>
      <c r="O618" s="488"/>
      <c r="P618" s="488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5.75" customHeight="1" x14ac:dyDescent="0.35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488"/>
      <c r="L619" s="488"/>
      <c r="M619" s="488"/>
      <c r="N619" s="488"/>
      <c r="O619" s="488"/>
      <c r="P619" s="488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5.75" customHeight="1" x14ac:dyDescent="0.35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488"/>
      <c r="L620" s="488"/>
      <c r="M620" s="488"/>
      <c r="N620" s="488"/>
      <c r="O620" s="488"/>
      <c r="P620" s="488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5.75" customHeight="1" x14ac:dyDescent="0.35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488"/>
      <c r="L621" s="488"/>
      <c r="M621" s="488"/>
      <c r="N621" s="488"/>
      <c r="O621" s="488"/>
      <c r="P621" s="488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5.75" customHeight="1" x14ac:dyDescent="0.35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488"/>
      <c r="L622" s="488"/>
      <c r="M622" s="488"/>
      <c r="N622" s="488"/>
      <c r="O622" s="488"/>
      <c r="P622" s="488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5.75" customHeight="1" x14ac:dyDescent="0.35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488"/>
      <c r="L623" s="488"/>
      <c r="M623" s="488"/>
      <c r="N623" s="488"/>
      <c r="O623" s="488"/>
      <c r="P623" s="488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5.75" customHeight="1" x14ac:dyDescent="0.35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488"/>
      <c r="L624" s="488"/>
      <c r="M624" s="488"/>
      <c r="N624" s="488"/>
      <c r="O624" s="488"/>
      <c r="P624" s="488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5.75" customHeight="1" x14ac:dyDescent="0.3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488"/>
      <c r="L625" s="488"/>
      <c r="M625" s="488"/>
      <c r="N625" s="488"/>
      <c r="O625" s="488"/>
      <c r="P625" s="488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5.75" customHeight="1" x14ac:dyDescent="0.35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488"/>
      <c r="L626" s="488"/>
      <c r="M626" s="488"/>
      <c r="N626" s="488"/>
      <c r="O626" s="488"/>
      <c r="P626" s="488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5.75" customHeight="1" x14ac:dyDescent="0.35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488"/>
      <c r="L627" s="488"/>
      <c r="M627" s="488"/>
      <c r="N627" s="488"/>
      <c r="O627" s="488"/>
      <c r="P627" s="488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5.75" customHeight="1" x14ac:dyDescent="0.35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488"/>
      <c r="L628" s="488"/>
      <c r="M628" s="488"/>
      <c r="N628" s="488"/>
      <c r="O628" s="488"/>
      <c r="P628" s="488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5.75" customHeight="1" x14ac:dyDescent="0.35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488"/>
      <c r="L629" s="488"/>
      <c r="M629" s="488"/>
      <c r="N629" s="488"/>
      <c r="O629" s="488"/>
      <c r="P629" s="488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5.75" customHeight="1" x14ac:dyDescent="0.35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488"/>
      <c r="L630" s="488"/>
      <c r="M630" s="488"/>
      <c r="N630" s="488"/>
      <c r="O630" s="488"/>
      <c r="P630" s="488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5.75" customHeight="1" x14ac:dyDescent="0.35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488"/>
      <c r="L631" s="488"/>
      <c r="M631" s="488"/>
      <c r="N631" s="488"/>
      <c r="O631" s="488"/>
      <c r="P631" s="488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5.75" customHeight="1" x14ac:dyDescent="0.35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488"/>
      <c r="L632" s="488"/>
      <c r="M632" s="488"/>
      <c r="N632" s="488"/>
      <c r="O632" s="488"/>
      <c r="P632" s="488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5.75" customHeight="1" x14ac:dyDescent="0.35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488"/>
      <c r="L633" s="488"/>
      <c r="M633" s="488"/>
      <c r="N633" s="488"/>
      <c r="O633" s="488"/>
      <c r="P633" s="488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5.75" customHeight="1" x14ac:dyDescent="0.35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488"/>
      <c r="L634" s="488"/>
      <c r="M634" s="488"/>
      <c r="N634" s="488"/>
      <c r="O634" s="488"/>
      <c r="P634" s="488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5.75" customHeight="1" x14ac:dyDescent="0.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488"/>
      <c r="L635" s="488"/>
      <c r="M635" s="488"/>
      <c r="N635" s="488"/>
      <c r="O635" s="488"/>
      <c r="P635" s="488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5.75" customHeight="1" x14ac:dyDescent="0.35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488"/>
      <c r="L636" s="488"/>
      <c r="M636" s="488"/>
      <c r="N636" s="488"/>
      <c r="O636" s="488"/>
      <c r="P636" s="488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5.75" customHeight="1" x14ac:dyDescent="0.35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488"/>
      <c r="L637" s="488"/>
      <c r="M637" s="488"/>
      <c r="N637" s="488"/>
      <c r="O637" s="488"/>
      <c r="P637" s="488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5.75" customHeight="1" x14ac:dyDescent="0.35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488"/>
      <c r="L638" s="488"/>
      <c r="M638" s="488"/>
      <c r="N638" s="488"/>
      <c r="O638" s="488"/>
      <c r="P638" s="488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5.75" customHeight="1" x14ac:dyDescent="0.35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488"/>
      <c r="L639" s="488"/>
      <c r="M639" s="488"/>
      <c r="N639" s="488"/>
      <c r="O639" s="488"/>
      <c r="P639" s="488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5.75" customHeight="1" x14ac:dyDescent="0.35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488"/>
      <c r="L640" s="488"/>
      <c r="M640" s="488"/>
      <c r="N640" s="488"/>
      <c r="O640" s="488"/>
      <c r="P640" s="488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5.75" customHeight="1" x14ac:dyDescent="0.35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488"/>
      <c r="L641" s="488"/>
      <c r="M641" s="488"/>
      <c r="N641" s="488"/>
      <c r="O641" s="488"/>
      <c r="P641" s="488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5.75" customHeight="1" x14ac:dyDescent="0.35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488"/>
      <c r="L642" s="488"/>
      <c r="M642" s="488"/>
      <c r="N642" s="488"/>
      <c r="O642" s="488"/>
      <c r="P642" s="488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5.75" customHeight="1" x14ac:dyDescent="0.35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488"/>
      <c r="L643" s="488"/>
      <c r="M643" s="488"/>
      <c r="N643" s="488"/>
      <c r="O643" s="488"/>
      <c r="P643" s="488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5.75" customHeight="1" x14ac:dyDescent="0.35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488"/>
      <c r="L644" s="488"/>
      <c r="M644" s="488"/>
      <c r="N644" s="488"/>
      <c r="O644" s="488"/>
      <c r="P644" s="488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5.75" customHeight="1" x14ac:dyDescent="0.3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488"/>
      <c r="L645" s="488"/>
      <c r="M645" s="488"/>
      <c r="N645" s="488"/>
      <c r="O645" s="488"/>
      <c r="P645" s="488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5.75" customHeight="1" x14ac:dyDescent="0.35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488"/>
      <c r="L646" s="488"/>
      <c r="M646" s="488"/>
      <c r="N646" s="488"/>
      <c r="O646" s="488"/>
      <c r="P646" s="488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5.75" customHeight="1" x14ac:dyDescent="0.35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488"/>
      <c r="L647" s="488"/>
      <c r="M647" s="488"/>
      <c r="N647" s="488"/>
      <c r="O647" s="488"/>
      <c r="P647" s="488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5.75" customHeight="1" x14ac:dyDescent="0.35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488"/>
      <c r="L648" s="488"/>
      <c r="M648" s="488"/>
      <c r="N648" s="488"/>
      <c r="O648" s="488"/>
      <c r="P648" s="488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5.75" customHeight="1" x14ac:dyDescent="0.35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488"/>
      <c r="L649" s="488"/>
      <c r="M649" s="488"/>
      <c r="N649" s="488"/>
      <c r="O649" s="488"/>
      <c r="P649" s="488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5.75" customHeight="1" x14ac:dyDescent="0.35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488"/>
      <c r="L650" s="488"/>
      <c r="M650" s="488"/>
      <c r="N650" s="488"/>
      <c r="O650" s="488"/>
      <c r="P650" s="488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5.75" customHeight="1" x14ac:dyDescent="0.35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488"/>
      <c r="L651" s="488"/>
      <c r="M651" s="488"/>
      <c r="N651" s="488"/>
      <c r="O651" s="488"/>
      <c r="P651" s="488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5.75" customHeight="1" x14ac:dyDescent="0.35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488"/>
      <c r="L652" s="488"/>
      <c r="M652" s="488"/>
      <c r="N652" s="488"/>
      <c r="O652" s="488"/>
      <c r="P652" s="488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5.75" customHeight="1" x14ac:dyDescent="0.35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488"/>
      <c r="L653" s="488"/>
      <c r="M653" s="488"/>
      <c r="N653" s="488"/>
      <c r="O653" s="488"/>
      <c r="P653" s="488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5.75" customHeight="1" x14ac:dyDescent="0.35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488"/>
      <c r="L654" s="488"/>
      <c r="M654" s="488"/>
      <c r="N654" s="488"/>
      <c r="O654" s="488"/>
      <c r="P654" s="488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5.75" customHeight="1" x14ac:dyDescent="0.3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488"/>
      <c r="L655" s="488"/>
      <c r="M655" s="488"/>
      <c r="N655" s="488"/>
      <c r="O655" s="488"/>
      <c r="P655" s="488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5.75" customHeight="1" x14ac:dyDescent="0.35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488"/>
      <c r="L656" s="488"/>
      <c r="M656" s="488"/>
      <c r="N656" s="488"/>
      <c r="O656" s="488"/>
      <c r="P656" s="488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5.75" customHeight="1" x14ac:dyDescent="0.35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488"/>
      <c r="L657" s="488"/>
      <c r="M657" s="488"/>
      <c r="N657" s="488"/>
      <c r="O657" s="488"/>
      <c r="P657" s="488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5.75" customHeight="1" x14ac:dyDescent="0.35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488"/>
      <c r="L658" s="488"/>
      <c r="M658" s="488"/>
      <c r="N658" s="488"/>
      <c r="O658" s="488"/>
      <c r="P658" s="488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5.75" customHeight="1" x14ac:dyDescent="0.35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488"/>
      <c r="L659" s="488"/>
      <c r="M659" s="488"/>
      <c r="N659" s="488"/>
      <c r="O659" s="488"/>
      <c r="P659" s="488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5.75" customHeight="1" x14ac:dyDescent="0.35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488"/>
      <c r="L660" s="488"/>
      <c r="M660" s="488"/>
      <c r="N660" s="488"/>
      <c r="O660" s="488"/>
      <c r="P660" s="488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5.75" customHeight="1" x14ac:dyDescent="0.35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488"/>
      <c r="L661" s="488"/>
      <c r="M661" s="488"/>
      <c r="N661" s="488"/>
      <c r="O661" s="488"/>
      <c r="P661" s="488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5.75" customHeight="1" x14ac:dyDescent="0.35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488"/>
      <c r="L662" s="488"/>
      <c r="M662" s="488"/>
      <c r="N662" s="488"/>
      <c r="O662" s="488"/>
      <c r="P662" s="488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5.75" customHeight="1" x14ac:dyDescent="0.35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488"/>
      <c r="L663" s="488"/>
      <c r="M663" s="488"/>
      <c r="N663" s="488"/>
      <c r="O663" s="488"/>
      <c r="P663" s="488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5.75" customHeight="1" x14ac:dyDescent="0.35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488"/>
      <c r="L664" s="488"/>
      <c r="M664" s="488"/>
      <c r="N664" s="488"/>
      <c r="O664" s="488"/>
      <c r="P664" s="488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5.75" customHeight="1" x14ac:dyDescent="0.3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488"/>
      <c r="L665" s="488"/>
      <c r="M665" s="488"/>
      <c r="N665" s="488"/>
      <c r="O665" s="488"/>
      <c r="P665" s="488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5.75" customHeight="1" x14ac:dyDescent="0.35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488"/>
      <c r="L666" s="488"/>
      <c r="M666" s="488"/>
      <c r="N666" s="488"/>
      <c r="O666" s="488"/>
      <c r="P666" s="488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5.75" customHeight="1" x14ac:dyDescent="0.35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488"/>
      <c r="L667" s="488"/>
      <c r="M667" s="488"/>
      <c r="N667" s="488"/>
      <c r="O667" s="488"/>
      <c r="P667" s="488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5.75" customHeight="1" x14ac:dyDescent="0.35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488"/>
      <c r="L668" s="488"/>
      <c r="M668" s="488"/>
      <c r="N668" s="488"/>
      <c r="O668" s="488"/>
      <c r="P668" s="488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5.75" customHeight="1" x14ac:dyDescent="0.35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488"/>
      <c r="L669" s="488"/>
      <c r="M669" s="488"/>
      <c r="N669" s="488"/>
      <c r="O669" s="488"/>
      <c r="P669" s="488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5.75" customHeight="1" x14ac:dyDescent="0.35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488"/>
      <c r="L670" s="488"/>
      <c r="M670" s="488"/>
      <c r="N670" s="488"/>
      <c r="O670" s="488"/>
      <c r="P670" s="488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5.75" customHeight="1" x14ac:dyDescent="0.35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488"/>
      <c r="L671" s="488"/>
      <c r="M671" s="488"/>
      <c r="N671" s="488"/>
      <c r="O671" s="488"/>
      <c r="P671" s="488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5.75" customHeight="1" x14ac:dyDescent="0.35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488"/>
      <c r="L672" s="488"/>
      <c r="M672" s="488"/>
      <c r="N672" s="488"/>
      <c r="O672" s="488"/>
      <c r="P672" s="488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5.75" customHeight="1" x14ac:dyDescent="0.35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488"/>
      <c r="L673" s="488"/>
      <c r="M673" s="488"/>
      <c r="N673" s="488"/>
      <c r="O673" s="488"/>
      <c r="P673" s="488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5.75" customHeight="1" x14ac:dyDescent="0.35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488"/>
      <c r="L674" s="488"/>
      <c r="M674" s="488"/>
      <c r="N674" s="488"/>
      <c r="O674" s="488"/>
      <c r="P674" s="488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5.75" customHeight="1" x14ac:dyDescent="0.3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488"/>
      <c r="L675" s="488"/>
      <c r="M675" s="488"/>
      <c r="N675" s="488"/>
      <c r="O675" s="488"/>
      <c r="P675" s="488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5.75" customHeight="1" x14ac:dyDescent="0.35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488"/>
      <c r="L676" s="488"/>
      <c r="M676" s="488"/>
      <c r="N676" s="488"/>
      <c r="O676" s="488"/>
      <c r="P676" s="488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5.75" customHeight="1" x14ac:dyDescent="0.35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488"/>
      <c r="L677" s="488"/>
      <c r="M677" s="488"/>
      <c r="N677" s="488"/>
      <c r="O677" s="488"/>
      <c r="P677" s="488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5.75" customHeight="1" x14ac:dyDescent="0.35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488"/>
      <c r="L678" s="488"/>
      <c r="M678" s="488"/>
      <c r="N678" s="488"/>
      <c r="O678" s="488"/>
      <c r="P678" s="488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5.75" customHeight="1" x14ac:dyDescent="0.35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488"/>
      <c r="L679" s="488"/>
      <c r="M679" s="488"/>
      <c r="N679" s="488"/>
      <c r="O679" s="488"/>
      <c r="P679" s="488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5.75" customHeight="1" x14ac:dyDescent="0.35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488"/>
      <c r="L680" s="488"/>
      <c r="M680" s="488"/>
      <c r="N680" s="488"/>
      <c r="O680" s="488"/>
      <c r="P680" s="488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5.75" customHeight="1" x14ac:dyDescent="0.35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488"/>
      <c r="L681" s="488"/>
      <c r="M681" s="488"/>
      <c r="N681" s="488"/>
      <c r="O681" s="488"/>
      <c r="P681" s="488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5.75" customHeight="1" x14ac:dyDescent="0.35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488"/>
      <c r="L682" s="488"/>
      <c r="M682" s="488"/>
      <c r="N682" s="488"/>
      <c r="O682" s="488"/>
      <c r="P682" s="488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5.75" customHeight="1" x14ac:dyDescent="0.35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488"/>
      <c r="L683" s="488"/>
      <c r="M683" s="488"/>
      <c r="N683" s="488"/>
      <c r="O683" s="488"/>
      <c r="P683" s="488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5.75" customHeight="1" x14ac:dyDescent="0.35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488"/>
      <c r="L684" s="488"/>
      <c r="M684" s="488"/>
      <c r="N684" s="488"/>
      <c r="O684" s="488"/>
      <c r="P684" s="488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5.75" customHeight="1" x14ac:dyDescent="0.3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488"/>
      <c r="L685" s="488"/>
      <c r="M685" s="488"/>
      <c r="N685" s="488"/>
      <c r="O685" s="488"/>
      <c r="P685" s="488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5.75" customHeight="1" x14ac:dyDescent="0.35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488"/>
      <c r="L686" s="488"/>
      <c r="M686" s="488"/>
      <c r="N686" s="488"/>
      <c r="O686" s="488"/>
      <c r="P686" s="488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5.75" customHeight="1" x14ac:dyDescent="0.35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488"/>
      <c r="L687" s="488"/>
      <c r="M687" s="488"/>
      <c r="N687" s="488"/>
      <c r="O687" s="488"/>
      <c r="P687" s="488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5.75" customHeight="1" x14ac:dyDescent="0.35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488"/>
      <c r="L688" s="488"/>
      <c r="M688" s="488"/>
      <c r="N688" s="488"/>
      <c r="O688" s="488"/>
      <c r="P688" s="488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5.75" customHeight="1" x14ac:dyDescent="0.35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488"/>
      <c r="L689" s="488"/>
      <c r="M689" s="488"/>
      <c r="N689" s="488"/>
      <c r="O689" s="488"/>
      <c r="P689" s="488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5.75" customHeight="1" x14ac:dyDescent="0.35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488"/>
      <c r="L690" s="488"/>
      <c r="M690" s="488"/>
      <c r="N690" s="488"/>
      <c r="O690" s="488"/>
      <c r="P690" s="488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5.75" customHeight="1" x14ac:dyDescent="0.35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488"/>
      <c r="L691" s="488"/>
      <c r="M691" s="488"/>
      <c r="N691" s="488"/>
      <c r="O691" s="488"/>
      <c r="P691" s="488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5.75" customHeight="1" x14ac:dyDescent="0.35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488"/>
      <c r="L692" s="488"/>
      <c r="M692" s="488"/>
      <c r="N692" s="488"/>
      <c r="O692" s="488"/>
      <c r="P692" s="488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5.75" customHeight="1" x14ac:dyDescent="0.35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488"/>
      <c r="L693" s="488"/>
      <c r="M693" s="488"/>
      <c r="N693" s="488"/>
      <c r="O693" s="488"/>
      <c r="P693" s="488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5.75" customHeight="1" x14ac:dyDescent="0.35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488"/>
      <c r="L694" s="488"/>
      <c r="M694" s="488"/>
      <c r="N694" s="488"/>
      <c r="O694" s="488"/>
      <c r="P694" s="488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5.75" customHeight="1" x14ac:dyDescent="0.3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488"/>
      <c r="L695" s="488"/>
      <c r="M695" s="488"/>
      <c r="N695" s="488"/>
      <c r="O695" s="488"/>
      <c r="P695" s="488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5.75" customHeight="1" x14ac:dyDescent="0.35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488"/>
      <c r="L696" s="488"/>
      <c r="M696" s="488"/>
      <c r="N696" s="488"/>
      <c r="O696" s="488"/>
      <c r="P696" s="488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5.75" customHeight="1" x14ac:dyDescent="0.35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488"/>
      <c r="L697" s="488"/>
      <c r="M697" s="488"/>
      <c r="N697" s="488"/>
      <c r="O697" s="488"/>
      <c r="P697" s="488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5.75" customHeight="1" x14ac:dyDescent="0.35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488"/>
      <c r="L698" s="488"/>
      <c r="M698" s="488"/>
      <c r="N698" s="488"/>
      <c r="O698" s="488"/>
      <c r="P698" s="488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5.75" customHeight="1" x14ac:dyDescent="0.35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488"/>
      <c r="L699" s="488"/>
      <c r="M699" s="488"/>
      <c r="N699" s="488"/>
      <c r="O699" s="488"/>
      <c r="P699" s="488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5.75" customHeight="1" x14ac:dyDescent="0.35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488"/>
      <c r="L700" s="488"/>
      <c r="M700" s="488"/>
      <c r="N700" s="488"/>
      <c r="O700" s="488"/>
      <c r="P700" s="488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5.75" customHeight="1" x14ac:dyDescent="0.35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488"/>
      <c r="L701" s="488"/>
      <c r="M701" s="488"/>
      <c r="N701" s="488"/>
      <c r="O701" s="488"/>
      <c r="P701" s="488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5.75" customHeight="1" x14ac:dyDescent="0.35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488"/>
      <c r="L702" s="488"/>
      <c r="M702" s="488"/>
      <c r="N702" s="488"/>
      <c r="O702" s="488"/>
      <c r="P702" s="488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5.75" customHeight="1" x14ac:dyDescent="0.35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488"/>
      <c r="L703" s="488"/>
      <c r="M703" s="488"/>
      <c r="N703" s="488"/>
      <c r="O703" s="488"/>
      <c r="P703" s="488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5.75" customHeight="1" x14ac:dyDescent="0.35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488"/>
      <c r="L704" s="488"/>
      <c r="M704" s="488"/>
      <c r="N704" s="488"/>
      <c r="O704" s="488"/>
      <c r="P704" s="488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5.75" customHeight="1" x14ac:dyDescent="0.3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488"/>
      <c r="L705" s="488"/>
      <c r="M705" s="488"/>
      <c r="N705" s="488"/>
      <c r="O705" s="488"/>
      <c r="P705" s="488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5.75" customHeight="1" x14ac:dyDescent="0.35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488"/>
      <c r="L706" s="488"/>
      <c r="M706" s="488"/>
      <c r="N706" s="488"/>
      <c r="O706" s="488"/>
      <c r="P706" s="488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5.75" customHeight="1" x14ac:dyDescent="0.35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488"/>
      <c r="L707" s="488"/>
      <c r="M707" s="488"/>
      <c r="N707" s="488"/>
      <c r="O707" s="488"/>
      <c r="P707" s="488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5.75" customHeight="1" x14ac:dyDescent="0.35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488"/>
      <c r="L708" s="488"/>
      <c r="M708" s="488"/>
      <c r="N708" s="488"/>
      <c r="O708" s="488"/>
      <c r="P708" s="488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5.75" customHeight="1" x14ac:dyDescent="0.35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488"/>
      <c r="L709" s="488"/>
      <c r="M709" s="488"/>
      <c r="N709" s="488"/>
      <c r="O709" s="488"/>
      <c r="P709" s="488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5.75" customHeight="1" x14ac:dyDescent="0.35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488"/>
      <c r="L710" s="488"/>
      <c r="M710" s="488"/>
      <c r="N710" s="488"/>
      <c r="O710" s="488"/>
      <c r="P710" s="488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5.75" customHeight="1" x14ac:dyDescent="0.35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488"/>
      <c r="L711" s="488"/>
      <c r="M711" s="488"/>
      <c r="N711" s="488"/>
      <c r="O711" s="488"/>
      <c r="P711" s="488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5.75" customHeight="1" x14ac:dyDescent="0.35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488"/>
      <c r="L712" s="488"/>
      <c r="M712" s="488"/>
      <c r="N712" s="488"/>
      <c r="O712" s="488"/>
      <c r="P712" s="488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5.75" customHeight="1" x14ac:dyDescent="0.35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488"/>
      <c r="L713" s="488"/>
      <c r="M713" s="488"/>
      <c r="N713" s="488"/>
      <c r="O713" s="488"/>
      <c r="P713" s="488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5.75" customHeight="1" x14ac:dyDescent="0.35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488"/>
      <c r="L714" s="488"/>
      <c r="M714" s="488"/>
      <c r="N714" s="488"/>
      <c r="O714" s="488"/>
      <c r="P714" s="488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5.75" customHeight="1" x14ac:dyDescent="0.3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488"/>
      <c r="L715" s="488"/>
      <c r="M715" s="488"/>
      <c r="N715" s="488"/>
      <c r="O715" s="488"/>
      <c r="P715" s="488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5.75" customHeight="1" x14ac:dyDescent="0.35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488"/>
      <c r="L716" s="488"/>
      <c r="M716" s="488"/>
      <c r="N716" s="488"/>
      <c r="O716" s="488"/>
      <c r="P716" s="488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5.75" customHeight="1" x14ac:dyDescent="0.35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488"/>
      <c r="L717" s="488"/>
      <c r="M717" s="488"/>
      <c r="N717" s="488"/>
      <c r="O717" s="488"/>
      <c r="P717" s="488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5.75" customHeight="1" x14ac:dyDescent="0.35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488"/>
      <c r="L718" s="488"/>
      <c r="M718" s="488"/>
      <c r="N718" s="488"/>
      <c r="O718" s="488"/>
      <c r="P718" s="488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5.75" customHeight="1" x14ac:dyDescent="0.35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488"/>
      <c r="L719" s="488"/>
      <c r="M719" s="488"/>
      <c r="N719" s="488"/>
      <c r="O719" s="488"/>
      <c r="P719" s="488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5.75" customHeight="1" x14ac:dyDescent="0.35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488"/>
      <c r="L720" s="488"/>
      <c r="M720" s="488"/>
      <c r="N720" s="488"/>
      <c r="O720" s="488"/>
      <c r="P720" s="488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5.75" customHeight="1" x14ac:dyDescent="0.35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488"/>
      <c r="L721" s="488"/>
      <c r="M721" s="488"/>
      <c r="N721" s="488"/>
      <c r="O721" s="488"/>
      <c r="P721" s="488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5.75" customHeight="1" x14ac:dyDescent="0.35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488"/>
      <c r="L722" s="488"/>
      <c r="M722" s="488"/>
      <c r="N722" s="488"/>
      <c r="O722" s="488"/>
      <c r="P722" s="488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5.75" customHeight="1" x14ac:dyDescent="0.35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488"/>
      <c r="L723" s="488"/>
      <c r="M723" s="488"/>
      <c r="N723" s="488"/>
      <c r="O723" s="488"/>
      <c r="P723" s="488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5.75" customHeight="1" x14ac:dyDescent="0.35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488"/>
      <c r="L724" s="488"/>
      <c r="M724" s="488"/>
      <c r="N724" s="488"/>
      <c r="O724" s="488"/>
      <c r="P724" s="488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5.75" customHeight="1" x14ac:dyDescent="0.3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488"/>
      <c r="L725" s="488"/>
      <c r="M725" s="488"/>
      <c r="N725" s="488"/>
      <c r="O725" s="488"/>
      <c r="P725" s="488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5.75" customHeight="1" x14ac:dyDescent="0.35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488"/>
      <c r="L726" s="488"/>
      <c r="M726" s="488"/>
      <c r="N726" s="488"/>
      <c r="O726" s="488"/>
      <c r="P726" s="488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5.75" customHeight="1" x14ac:dyDescent="0.35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488"/>
      <c r="L727" s="488"/>
      <c r="M727" s="488"/>
      <c r="N727" s="488"/>
      <c r="O727" s="488"/>
      <c r="P727" s="488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5.75" customHeight="1" x14ac:dyDescent="0.35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488"/>
      <c r="L728" s="488"/>
      <c r="M728" s="488"/>
      <c r="N728" s="488"/>
      <c r="O728" s="488"/>
      <c r="P728" s="488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5.75" customHeight="1" x14ac:dyDescent="0.35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488"/>
      <c r="L729" s="488"/>
      <c r="M729" s="488"/>
      <c r="N729" s="488"/>
      <c r="O729" s="488"/>
      <c r="P729" s="488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5.75" customHeight="1" x14ac:dyDescent="0.35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488"/>
      <c r="L730" s="488"/>
      <c r="M730" s="488"/>
      <c r="N730" s="488"/>
      <c r="O730" s="488"/>
      <c r="P730" s="488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5.75" customHeight="1" x14ac:dyDescent="0.35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488"/>
      <c r="L731" s="488"/>
      <c r="M731" s="488"/>
      <c r="N731" s="488"/>
      <c r="O731" s="488"/>
      <c r="P731" s="488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5.75" customHeight="1" x14ac:dyDescent="0.35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488"/>
      <c r="L732" s="488"/>
      <c r="M732" s="488"/>
      <c r="N732" s="488"/>
      <c r="O732" s="488"/>
      <c r="P732" s="488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5.75" customHeight="1" x14ac:dyDescent="0.35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488"/>
      <c r="L733" s="488"/>
      <c r="M733" s="488"/>
      <c r="N733" s="488"/>
      <c r="O733" s="488"/>
      <c r="P733" s="488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5.75" customHeight="1" x14ac:dyDescent="0.35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488"/>
      <c r="L734" s="488"/>
      <c r="M734" s="488"/>
      <c r="N734" s="488"/>
      <c r="O734" s="488"/>
      <c r="P734" s="488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5.75" customHeight="1" x14ac:dyDescent="0.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488"/>
      <c r="L735" s="488"/>
      <c r="M735" s="488"/>
      <c r="N735" s="488"/>
      <c r="O735" s="488"/>
      <c r="P735" s="488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5.75" customHeight="1" x14ac:dyDescent="0.35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488"/>
      <c r="L736" s="488"/>
      <c r="M736" s="488"/>
      <c r="N736" s="488"/>
      <c r="O736" s="488"/>
      <c r="P736" s="488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5.75" customHeight="1" x14ac:dyDescent="0.35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488"/>
      <c r="L737" s="488"/>
      <c r="M737" s="488"/>
      <c r="N737" s="488"/>
      <c r="O737" s="488"/>
      <c r="P737" s="488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5.75" customHeight="1" x14ac:dyDescent="0.35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488"/>
      <c r="L738" s="488"/>
      <c r="M738" s="488"/>
      <c r="N738" s="488"/>
      <c r="O738" s="488"/>
      <c r="P738" s="488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5.75" customHeight="1" x14ac:dyDescent="0.35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488"/>
      <c r="L739" s="488"/>
      <c r="M739" s="488"/>
      <c r="N739" s="488"/>
      <c r="O739" s="488"/>
      <c r="P739" s="488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5.75" customHeight="1" x14ac:dyDescent="0.35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488"/>
      <c r="L740" s="488"/>
      <c r="M740" s="488"/>
      <c r="N740" s="488"/>
      <c r="O740" s="488"/>
      <c r="P740" s="488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5.75" customHeight="1" x14ac:dyDescent="0.35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488"/>
      <c r="L741" s="488"/>
      <c r="M741" s="488"/>
      <c r="N741" s="488"/>
      <c r="O741" s="488"/>
      <c r="P741" s="488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5.75" customHeight="1" x14ac:dyDescent="0.35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488"/>
      <c r="L742" s="488"/>
      <c r="M742" s="488"/>
      <c r="N742" s="488"/>
      <c r="O742" s="488"/>
      <c r="P742" s="488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5.75" customHeight="1" x14ac:dyDescent="0.35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488"/>
      <c r="L743" s="488"/>
      <c r="M743" s="488"/>
      <c r="N743" s="488"/>
      <c r="O743" s="488"/>
      <c r="P743" s="488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5.75" customHeight="1" x14ac:dyDescent="0.35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488"/>
      <c r="L744" s="488"/>
      <c r="M744" s="488"/>
      <c r="N744" s="488"/>
      <c r="O744" s="488"/>
      <c r="P744" s="488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5.75" customHeight="1" x14ac:dyDescent="0.3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488"/>
      <c r="L745" s="488"/>
      <c r="M745" s="488"/>
      <c r="N745" s="488"/>
      <c r="O745" s="488"/>
      <c r="P745" s="488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5.75" customHeight="1" x14ac:dyDescent="0.35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488"/>
      <c r="L746" s="488"/>
      <c r="M746" s="488"/>
      <c r="N746" s="488"/>
      <c r="O746" s="488"/>
      <c r="P746" s="488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5.75" customHeight="1" x14ac:dyDescent="0.35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488"/>
      <c r="L747" s="488"/>
      <c r="M747" s="488"/>
      <c r="N747" s="488"/>
      <c r="O747" s="488"/>
      <c r="P747" s="488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5.75" customHeight="1" x14ac:dyDescent="0.35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488"/>
      <c r="L748" s="488"/>
      <c r="M748" s="488"/>
      <c r="N748" s="488"/>
      <c r="O748" s="488"/>
      <c r="P748" s="488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5.75" customHeight="1" x14ac:dyDescent="0.35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488"/>
      <c r="L749" s="488"/>
      <c r="M749" s="488"/>
      <c r="N749" s="488"/>
      <c r="O749" s="488"/>
      <c r="P749" s="488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5.75" customHeight="1" x14ac:dyDescent="0.35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488"/>
      <c r="L750" s="488"/>
      <c r="M750" s="488"/>
      <c r="N750" s="488"/>
      <c r="O750" s="488"/>
      <c r="P750" s="488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5.75" customHeight="1" x14ac:dyDescent="0.35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488"/>
      <c r="L751" s="488"/>
      <c r="M751" s="488"/>
      <c r="N751" s="488"/>
      <c r="O751" s="488"/>
      <c r="P751" s="488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5.75" customHeight="1" x14ac:dyDescent="0.35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488"/>
      <c r="L752" s="488"/>
      <c r="M752" s="488"/>
      <c r="N752" s="488"/>
      <c r="O752" s="488"/>
      <c r="P752" s="488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5.75" customHeight="1" x14ac:dyDescent="0.35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488"/>
      <c r="L753" s="488"/>
      <c r="M753" s="488"/>
      <c r="N753" s="488"/>
      <c r="O753" s="488"/>
      <c r="P753" s="488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5.75" customHeight="1" x14ac:dyDescent="0.35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488"/>
      <c r="L754" s="488"/>
      <c r="M754" s="488"/>
      <c r="N754" s="488"/>
      <c r="O754" s="488"/>
      <c r="P754" s="488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5.75" customHeight="1" x14ac:dyDescent="0.3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488"/>
      <c r="L755" s="488"/>
      <c r="M755" s="488"/>
      <c r="N755" s="488"/>
      <c r="O755" s="488"/>
      <c r="P755" s="488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5.75" customHeight="1" x14ac:dyDescent="0.35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488"/>
      <c r="L756" s="488"/>
      <c r="M756" s="488"/>
      <c r="N756" s="488"/>
      <c r="O756" s="488"/>
      <c r="P756" s="488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5.75" customHeight="1" x14ac:dyDescent="0.35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488"/>
      <c r="L757" s="488"/>
      <c r="M757" s="488"/>
      <c r="N757" s="488"/>
      <c r="O757" s="488"/>
      <c r="P757" s="488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5.75" customHeight="1" x14ac:dyDescent="0.35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488"/>
      <c r="L758" s="488"/>
      <c r="M758" s="488"/>
      <c r="N758" s="488"/>
      <c r="O758" s="488"/>
      <c r="P758" s="488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5.75" customHeight="1" x14ac:dyDescent="0.35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488"/>
      <c r="L759" s="488"/>
      <c r="M759" s="488"/>
      <c r="N759" s="488"/>
      <c r="O759" s="488"/>
      <c r="P759" s="488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5.75" customHeight="1" x14ac:dyDescent="0.35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488"/>
      <c r="L760" s="488"/>
      <c r="M760" s="488"/>
      <c r="N760" s="488"/>
      <c r="O760" s="488"/>
      <c r="P760" s="488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5.75" customHeight="1" x14ac:dyDescent="0.35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488"/>
      <c r="L761" s="488"/>
      <c r="M761" s="488"/>
      <c r="N761" s="488"/>
      <c r="O761" s="488"/>
      <c r="P761" s="488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5.75" customHeight="1" x14ac:dyDescent="0.35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488"/>
      <c r="L762" s="488"/>
      <c r="M762" s="488"/>
      <c r="N762" s="488"/>
      <c r="O762" s="488"/>
      <c r="P762" s="488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5.75" customHeight="1" x14ac:dyDescent="0.35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488"/>
      <c r="L763" s="488"/>
      <c r="M763" s="488"/>
      <c r="N763" s="488"/>
      <c r="O763" s="488"/>
      <c r="P763" s="488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5.75" customHeight="1" x14ac:dyDescent="0.35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488"/>
      <c r="L764" s="488"/>
      <c r="M764" s="488"/>
      <c r="N764" s="488"/>
      <c r="O764" s="488"/>
      <c r="P764" s="488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5.75" customHeight="1" x14ac:dyDescent="0.3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488"/>
      <c r="L765" s="488"/>
      <c r="M765" s="488"/>
      <c r="N765" s="488"/>
      <c r="O765" s="488"/>
      <c r="P765" s="488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5.75" customHeight="1" x14ac:dyDescent="0.35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488"/>
      <c r="L766" s="488"/>
      <c r="M766" s="488"/>
      <c r="N766" s="488"/>
      <c r="O766" s="488"/>
      <c r="P766" s="488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5.75" customHeight="1" x14ac:dyDescent="0.35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488"/>
      <c r="L767" s="488"/>
      <c r="M767" s="488"/>
      <c r="N767" s="488"/>
      <c r="O767" s="488"/>
      <c r="P767" s="488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5.75" customHeight="1" x14ac:dyDescent="0.35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488"/>
      <c r="L768" s="488"/>
      <c r="M768" s="488"/>
      <c r="N768" s="488"/>
      <c r="O768" s="488"/>
      <c r="P768" s="488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5.75" customHeight="1" x14ac:dyDescent="0.35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488"/>
      <c r="L769" s="488"/>
      <c r="M769" s="488"/>
      <c r="N769" s="488"/>
      <c r="O769" s="488"/>
      <c r="P769" s="488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5.75" customHeight="1" x14ac:dyDescent="0.35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488"/>
      <c r="L770" s="488"/>
      <c r="M770" s="488"/>
      <c r="N770" s="488"/>
      <c r="O770" s="488"/>
      <c r="P770" s="488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5.75" customHeight="1" x14ac:dyDescent="0.35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488"/>
      <c r="L771" s="488"/>
      <c r="M771" s="488"/>
      <c r="N771" s="488"/>
      <c r="O771" s="488"/>
      <c r="P771" s="488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5.75" customHeight="1" x14ac:dyDescent="0.35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488"/>
      <c r="L772" s="488"/>
      <c r="M772" s="488"/>
      <c r="N772" s="488"/>
      <c r="O772" s="488"/>
      <c r="P772" s="488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5.75" customHeight="1" x14ac:dyDescent="0.35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488"/>
      <c r="L773" s="488"/>
      <c r="M773" s="488"/>
      <c r="N773" s="488"/>
      <c r="O773" s="488"/>
      <c r="P773" s="488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5.75" customHeight="1" x14ac:dyDescent="0.35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488"/>
      <c r="L774" s="488"/>
      <c r="M774" s="488"/>
      <c r="N774" s="488"/>
      <c r="O774" s="488"/>
      <c r="P774" s="488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5.75" customHeight="1" x14ac:dyDescent="0.3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488"/>
      <c r="L775" s="488"/>
      <c r="M775" s="488"/>
      <c r="N775" s="488"/>
      <c r="O775" s="488"/>
      <c r="P775" s="488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5.75" customHeight="1" x14ac:dyDescent="0.35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488"/>
      <c r="L776" s="488"/>
      <c r="M776" s="488"/>
      <c r="N776" s="488"/>
      <c r="O776" s="488"/>
      <c r="P776" s="488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5.75" customHeight="1" x14ac:dyDescent="0.35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488"/>
      <c r="L777" s="488"/>
      <c r="M777" s="488"/>
      <c r="N777" s="488"/>
      <c r="O777" s="488"/>
      <c r="P777" s="488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5.75" customHeight="1" x14ac:dyDescent="0.35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488"/>
      <c r="L778" s="488"/>
      <c r="M778" s="488"/>
      <c r="N778" s="488"/>
      <c r="O778" s="488"/>
      <c r="P778" s="488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5.75" customHeight="1" x14ac:dyDescent="0.35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488"/>
      <c r="L779" s="488"/>
      <c r="M779" s="488"/>
      <c r="N779" s="488"/>
      <c r="O779" s="488"/>
      <c r="P779" s="488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5.75" customHeight="1" x14ac:dyDescent="0.35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488"/>
      <c r="L780" s="488"/>
      <c r="M780" s="488"/>
      <c r="N780" s="488"/>
      <c r="O780" s="488"/>
      <c r="P780" s="488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5.75" customHeight="1" x14ac:dyDescent="0.35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488"/>
      <c r="L781" s="488"/>
      <c r="M781" s="488"/>
      <c r="N781" s="488"/>
      <c r="O781" s="488"/>
      <c r="P781" s="488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5.75" customHeight="1" x14ac:dyDescent="0.35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488"/>
      <c r="L782" s="488"/>
      <c r="M782" s="488"/>
      <c r="N782" s="488"/>
      <c r="O782" s="488"/>
      <c r="P782" s="488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5.75" customHeight="1" x14ac:dyDescent="0.35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488"/>
      <c r="L783" s="488"/>
      <c r="M783" s="488"/>
      <c r="N783" s="488"/>
      <c r="O783" s="488"/>
      <c r="P783" s="488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5.75" customHeight="1" x14ac:dyDescent="0.35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488"/>
      <c r="L784" s="488"/>
      <c r="M784" s="488"/>
      <c r="N784" s="488"/>
      <c r="O784" s="488"/>
      <c r="P784" s="488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5.75" customHeight="1" x14ac:dyDescent="0.3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488"/>
      <c r="L785" s="488"/>
      <c r="M785" s="488"/>
      <c r="N785" s="488"/>
      <c r="O785" s="488"/>
      <c r="P785" s="488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5.75" customHeight="1" x14ac:dyDescent="0.35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488"/>
      <c r="L786" s="488"/>
      <c r="M786" s="488"/>
      <c r="N786" s="488"/>
      <c r="O786" s="488"/>
      <c r="P786" s="488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5.75" customHeight="1" x14ac:dyDescent="0.35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488"/>
      <c r="L787" s="488"/>
      <c r="M787" s="488"/>
      <c r="N787" s="488"/>
      <c r="O787" s="488"/>
      <c r="P787" s="488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5.75" customHeight="1" x14ac:dyDescent="0.35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488"/>
      <c r="L788" s="488"/>
      <c r="M788" s="488"/>
      <c r="N788" s="488"/>
      <c r="O788" s="488"/>
      <c r="P788" s="488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5.75" customHeight="1" x14ac:dyDescent="0.35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488"/>
      <c r="L789" s="488"/>
      <c r="M789" s="488"/>
      <c r="N789" s="488"/>
      <c r="O789" s="488"/>
      <c r="P789" s="488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5.75" customHeight="1" x14ac:dyDescent="0.35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488"/>
      <c r="L790" s="488"/>
      <c r="M790" s="488"/>
      <c r="N790" s="488"/>
      <c r="O790" s="488"/>
      <c r="P790" s="488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5.75" customHeight="1" x14ac:dyDescent="0.35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488"/>
      <c r="L791" s="488"/>
      <c r="M791" s="488"/>
      <c r="N791" s="488"/>
      <c r="O791" s="488"/>
      <c r="P791" s="488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5.75" customHeight="1" x14ac:dyDescent="0.35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488"/>
      <c r="L792" s="488"/>
      <c r="M792" s="488"/>
      <c r="N792" s="488"/>
      <c r="O792" s="488"/>
      <c r="P792" s="488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5.75" customHeight="1" x14ac:dyDescent="0.35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488"/>
      <c r="L793" s="488"/>
      <c r="M793" s="488"/>
      <c r="N793" s="488"/>
      <c r="O793" s="488"/>
      <c r="P793" s="488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5.75" customHeight="1" x14ac:dyDescent="0.35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488"/>
      <c r="L794" s="488"/>
      <c r="M794" s="488"/>
      <c r="N794" s="488"/>
      <c r="O794" s="488"/>
      <c r="P794" s="488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5.75" customHeight="1" x14ac:dyDescent="0.3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488"/>
      <c r="L795" s="488"/>
      <c r="M795" s="488"/>
      <c r="N795" s="488"/>
      <c r="O795" s="488"/>
      <c r="P795" s="488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5.75" customHeight="1" x14ac:dyDescent="0.35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488"/>
      <c r="L796" s="488"/>
      <c r="M796" s="488"/>
      <c r="N796" s="488"/>
      <c r="O796" s="488"/>
      <c r="P796" s="488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5.75" customHeight="1" x14ac:dyDescent="0.35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488"/>
      <c r="L797" s="488"/>
      <c r="M797" s="488"/>
      <c r="N797" s="488"/>
      <c r="O797" s="488"/>
      <c r="P797" s="488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5.75" customHeight="1" x14ac:dyDescent="0.35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488"/>
      <c r="L798" s="488"/>
      <c r="M798" s="488"/>
      <c r="N798" s="488"/>
      <c r="O798" s="488"/>
      <c r="P798" s="488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5.75" customHeight="1" x14ac:dyDescent="0.35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488"/>
      <c r="L799" s="488"/>
      <c r="M799" s="488"/>
      <c r="N799" s="488"/>
      <c r="O799" s="488"/>
      <c r="P799" s="488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5.75" customHeight="1" x14ac:dyDescent="0.35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488"/>
      <c r="L800" s="488"/>
      <c r="M800" s="488"/>
      <c r="N800" s="488"/>
      <c r="O800" s="488"/>
      <c r="P800" s="488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5.75" customHeight="1" x14ac:dyDescent="0.35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488"/>
      <c r="L801" s="488"/>
      <c r="M801" s="488"/>
      <c r="N801" s="488"/>
      <c r="O801" s="488"/>
      <c r="P801" s="488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5.75" customHeight="1" x14ac:dyDescent="0.35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488"/>
      <c r="L802" s="488"/>
      <c r="M802" s="488"/>
      <c r="N802" s="488"/>
      <c r="O802" s="488"/>
      <c r="P802" s="488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5.75" customHeight="1" x14ac:dyDescent="0.35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488"/>
      <c r="L803" s="488"/>
      <c r="M803" s="488"/>
      <c r="N803" s="488"/>
      <c r="O803" s="488"/>
      <c r="P803" s="488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5.75" customHeight="1" x14ac:dyDescent="0.35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488"/>
      <c r="L804" s="488"/>
      <c r="M804" s="488"/>
      <c r="N804" s="488"/>
      <c r="O804" s="488"/>
      <c r="P804" s="488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5.75" customHeight="1" x14ac:dyDescent="0.3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488"/>
      <c r="L805" s="488"/>
      <c r="M805" s="488"/>
      <c r="N805" s="488"/>
      <c r="O805" s="488"/>
      <c r="P805" s="488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5.75" customHeight="1" x14ac:dyDescent="0.35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488"/>
      <c r="L806" s="488"/>
      <c r="M806" s="488"/>
      <c r="N806" s="488"/>
      <c r="O806" s="488"/>
      <c r="P806" s="488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5.75" customHeight="1" x14ac:dyDescent="0.35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488"/>
      <c r="L807" s="488"/>
      <c r="M807" s="488"/>
      <c r="N807" s="488"/>
      <c r="O807" s="488"/>
      <c r="P807" s="488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5.75" customHeight="1" x14ac:dyDescent="0.35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488"/>
      <c r="L808" s="488"/>
      <c r="M808" s="488"/>
      <c r="N808" s="488"/>
      <c r="O808" s="488"/>
      <c r="P808" s="488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5.75" customHeight="1" x14ac:dyDescent="0.35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488"/>
      <c r="L809" s="488"/>
      <c r="M809" s="488"/>
      <c r="N809" s="488"/>
      <c r="O809" s="488"/>
      <c r="P809" s="488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5.75" customHeight="1" x14ac:dyDescent="0.35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488"/>
      <c r="L810" s="488"/>
      <c r="M810" s="488"/>
      <c r="N810" s="488"/>
      <c r="O810" s="488"/>
      <c r="P810" s="488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5.75" customHeight="1" x14ac:dyDescent="0.35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488"/>
      <c r="L811" s="488"/>
      <c r="M811" s="488"/>
      <c r="N811" s="488"/>
      <c r="O811" s="488"/>
      <c r="P811" s="488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5.75" customHeight="1" x14ac:dyDescent="0.35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488"/>
      <c r="L812" s="488"/>
      <c r="M812" s="488"/>
      <c r="N812" s="488"/>
      <c r="O812" s="488"/>
      <c r="P812" s="488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5.75" customHeight="1" x14ac:dyDescent="0.35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488"/>
      <c r="L813" s="488"/>
      <c r="M813" s="488"/>
      <c r="N813" s="488"/>
      <c r="O813" s="488"/>
      <c r="P813" s="488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5.75" customHeight="1" x14ac:dyDescent="0.35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488"/>
      <c r="L814" s="488"/>
      <c r="M814" s="488"/>
      <c r="N814" s="488"/>
      <c r="O814" s="488"/>
      <c r="P814" s="488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5.75" customHeight="1" x14ac:dyDescent="0.3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488"/>
      <c r="L815" s="488"/>
      <c r="M815" s="488"/>
      <c r="N815" s="488"/>
      <c r="O815" s="488"/>
      <c r="P815" s="488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5.75" customHeight="1" x14ac:dyDescent="0.35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488"/>
      <c r="L816" s="488"/>
      <c r="M816" s="488"/>
      <c r="N816" s="488"/>
      <c r="O816" s="488"/>
      <c r="P816" s="488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5.75" customHeight="1" x14ac:dyDescent="0.35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488"/>
      <c r="L817" s="488"/>
      <c r="M817" s="488"/>
      <c r="N817" s="488"/>
      <c r="O817" s="488"/>
      <c r="P817" s="488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5.75" customHeight="1" x14ac:dyDescent="0.35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488"/>
      <c r="L818" s="488"/>
      <c r="M818" s="488"/>
      <c r="N818" s="488"/>
      <c r="O818" s="488"/>
      <c r="P818" s="488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5.75" customHeight="1" x14ac:dyDescent="0.35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488"/>
      <c r="L819" s="488"/>
      <c r="M819" s="488"/>
      <c r="N819" s="488"/>
      <c r="O819" s="488"/>
      <c r="P819" s="488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5.75" customHeight="1" x14ac:dyDescent="0.35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488"/>
      <c r="L820" s="488"/>
      <c r="M820" s="488"/>
      <c r="N820" s="488"/>
      <c r="O820" s="488"/>
      <c r="P820" s="488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5.75" customHeight="1" x14ac:dyDescent="0.35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488"/>
      <c r="L821" s="488"/>
      <c r="M821" s="488"/>
      <c r="N821" s="488"/>
      <c r="O821" s="488"/>
      <c r="P821" s="488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5.75" customHeight="1" x14ac:dyDescent="0.35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488"/>
      <c r="L822" s="488"/>
      <c r="M822" s="488"/>
      <c r="N822" s="488"/>
      <c r="O822" s="488"/>
      <c r="P822" s="488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5.75" customHeight="1" x14ac:dyDescent="0.35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488"/>
      <c r="L823" s="488"/>
      <c r="M823" s="488"/>
      <c r="N823" s="488"/>
      <c r="O823" s="488"/>
      <c r="P823" s="488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5.75" customHeight="1" x14ac:dyDescent="0.35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488"/>
      <c r="L824" s="488"/>
      <c r="M824" s="488"/>
      <c r="N824" s="488"/>
      <c r="O824" s="488"/>
      <c r="P824" s="488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5.75" customHeight="1" x14ac:dyDescent="0.3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488"/>
      <c r="L825" s="488"/>
      <c r="M825" s="488"/>
      <c r="N825" s="488"/>
      <c r="O825" s="488"/>
      <c r="P825" s="488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5.75" customHeight="1" x14ac:dyDescent="0.35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488"/>
      <c r="L826" s="488"/>
      <c r="M826" s="488"/>
      <c r="N826" s="488"/>
      <c r="O826" s="488"/>
      <c r="P826" s="488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5.75" customHeight="1" x14ac:dyDescent="0.35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488"/>
      <c r="L827" s="488"/>
      <c r="M827" s="488"/>
      <c r="N827" s="488"/>
      <c r="O827" s="488"/>
      <c r="P827" s="488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5.75" customHeight="1" x14ac:dyDescent="0.35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488"/>
      <c r="L828" s="488"/>
      <c r="M828" s="488"/>
      <c r="N828" s="488"/>
      <c r="O828" s="488"/>
      <c r="P828" s="488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5.75" customHeight="1" x14ac:dyDescent="0.35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488"/>
      <c r="L829" s="488"/>
      <c r="M829" s="488"/>
      <c r="N829" s="488"/>
      <c r="O829" s="488"/>
      <c r="P829" s="488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5.75" customHeight="1" x14ac:dyDescent="0.35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488"/>
      <c r="L830" s="488"/>
      <c r="M830" s="488"/>
      <c r="N830" s="488"/>
      <c r="O830" s="488"/>
      <c r="P830" s="488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5.75" customHeight="1" x14ac:dyDescent="0.35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488"/>
      <c r="L831" s="488"/>
      <c r="M831" s="488"/>
      <c r="N831" s="488"/>
      <c r="O831" s="488"/>
      <c r="P831" s="488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5.75" customHeight="1" x14ac:dyDescent="0.35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488"/>
      <c r="L832" s="488"/>
      <c r="M832" s="488"/>
      <c r="N832" s="488"/>
      <c r="O832" s="488"/>
      <c r="P832" s="488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5.75" customHeight="1" x14ac:dyDescent="0.35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488"/>
      <c r="L833" s="488"/>
      <c r="M833" s="488"/>
      <c r="N833" s="488"/>
      <c r="O833" s="488"/>
      <c r="P833" s="488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5.75" customHeight="1" x14ac:dyDescent="0.35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488"/>
      <c r="L834" s="488"/>
      <c r="M834" s="488"/>
      <c r="N834" s="488"/>
      <c r="O834" s="488"/>
      <c r="P834" s="488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5.75" customHeight="1" x14ac:dyDescent="0.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488"/>
      <c r="L835" s="488"/>
      <c r="M835" s="488"/>
      <c r="N835" s="488"/>
      <c r="O835" s="488"/>
      <c r="P835" s="488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5.75" customHeight="1" x14ac:dyDescent="0.35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488"/>
      <c r="L836" s="488"/>
      <c r="M836" s="488"/>
      <c r="N836" s="488"/>
      <c r="O836" s="488"/>
      <c r="P836" s="488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5.75" customHeight="1" x14ac:dyDescent="0.35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488"/>
      <c r="L837" s="488"/>
      <c r="M837" s="488"/>
      <c r="N837" s="488"/>
      <c r="O837" s="488"/>
      <c r="P837" s="488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5.75" customHeight="1" x14ac:dyDescent="0.35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488"/>
      <c r="L838" s="488"/>
      <c r="M838" s="488"/>
      <c r="N838" s="488"/>
      <c r="O838" s="488"/>
      <c r="P838" s="488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5.75" customHeight="1" x14ac:dyDescent="0.35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488"/>
      <c r="L839" s="488"/>
      <c r="M839" s="488"/>
      <c r="N839" s="488"/>
      <c r="O839" s="488"/>
      <c r="P839" s="488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5.75" customHeight="1" x14ac:dyDescent="0.35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488"/>
      <c r="L840" s="488"/>
      <c r="M840" s="488"/>
      <c r="N840" s="488"/>
      <c r="O840" s="488"/>
      <c r="P840" s="488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5.75" customHeight="1" x14ac:dyDescent="0.35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488"/>
      <c r="L841" s="488"/>
      <c r="M841" s="488"/>
      <c r="N841" s="488"/>
      <c r="O841" s="488"/>
      <c r="P841" s="488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5.75" customHeight="1" x14ac:dyDescent="0.35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488"/>
      <c r="L842" s="488"/>
      <c r="M842" s="488"/>
      <c r="N842" s="488"/>
      <c r="O842" s="488"/>
      <c r="P842" s="488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5.75" customHeight="1" x14ac:dyDescent="0.35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488"/>
      <c r="L843" s="488"/>
      <c r="M843" s="488"/>
      <c r="N843" s="488"/>
      <c r="O843" s="488"/>
      <c r="P843" s="488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5.75" customHeight="1" x14ac:dyDescent="0.35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488"/>
      <c r="L844" s="488"/>
      <c r="M844" s="488"/>
      <c r="N844" s="488"/>
      <c r="O844" s="488"/>
      <c r="P844" s="488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5.75" customHeight="1" x14ac:dyDescent="0.3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488"/>
      <c r="L845" s="488"/>
      <c r="M845" s="488"/>
      <c r="N845" s="488"/>
      <c r="O845" s="488"/>
      <c r="P845" s="488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5.75" customHeight="1" x14ac:dyDescent="0.35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488"/>
      <c r="L846" s="488"/>
      <c r="M846" s="488"/>
      <c r="N846" s="488"/>
      <c r="O846" s="488"/>
      <c r="P846" s="488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5.75" customHeight="1" x14ac:dyDescent="0.35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488"/>
      <c r="L847" s="488"/>
      <c r="M847" s="488"/>
      <c r="N847" s="488"/>
      <c r="O847" s="488"/>
      <c r="P847" s="488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5.75" customHeight="1" x14ac:dyDescent="0.35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488"/>
      <c r="L848" s="488"/>
      <c r="M848" s="488"/>
      <c r="N848" s="488"/>
      <c r="O848" s="488"/>
      <c r="P848" s="488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5.75" customHeight="1" x14ac:dyDescent="0.35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488"/>
      <c r="L849" s="488"/>
      <c r="M849" s="488"/>
      <c r="N849" s="488"/>
      <c r="O849" s="488"/>
      <c r="P849" s="488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5.75" customHeight="1" x14ac:dyDescent="0.35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488"/>
      <c r="L850" s="488"/>
      <c r="M850" s="488"/>
      <c r="N850" s="488"/>
      <c r="O850" s="488"/>
      <c r="P850" s="488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5.75" customHeight="1" x14ac:dyDescent="0.35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488"/>
      <c r="L851" s="488"/>
      <c r="M851" s="488"/>
      <c r="N851" s="488"/>
      <c r="O851" s="488"/>
      <c r="P851" s="488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5.75" customHeight="1" x14ac:dyDescent="0.35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488"/>
      <c r="L852" s="488"/>
      <c r="M852" s="488"/>
      <c r="N852" s="488"/>
      <c r="O852" s="488"/>
      <c r="P852" s="488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5.75" customHeight="1" x14ac:dyDescent="0.35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488"/>
      <c r="L853" s="488"/>
      <c r="M853" s="488"/>
      <c r="N853" s="488"/>
      <c r="O853" s="488"/>
      <c r="P853" s="488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5.75" customHeight="1" x14ac:dyDescent="0.35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488"/>
      <c r="L854" s="488"/>
      <c r="M854" s="488"/>
      <c r="N854" s="488"/>
      <c r="O854" s="488"/>
      <c r="P854" s="488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5.75" customHeight="1" x14ac:dyDescent="0.3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488"/>
      <c r="L855" s="488"/>
      <c r="M855" s="488"/>
      <c r="N855" s="488"/>
      <c r="O855" s="488"/>
      <c r="P855" s="488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5.75" customHeight="1" x14ac:dyDescent="0.35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488"/>
      <c r="L856" s="488"/>
      <c r="M856" s="488"/>
      <c r="N856" s="488"/>
      <c r="O856" s="488"/>
      <c r="P856" s="488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5.75" customHeight="1" x14ac:dyDescent="0.35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488"/>
      <c r="L857" s="488"/>
      <c r="M857" s="488"/>
      <c r="N857" s="488"/>
      <c r="O857" s="488"/>
      <c r="P857" s="488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5.75" customHeight="1" x14ac:dyDescent="0.35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488"/>
      <c r="L858" s="488"/>
      <c r="M858" s="488"/>
      <c r="N858" s="488"/>
      <c r="O858" s="488"/>
      <c r="P858" s="488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5.75" customHeight="1" x14ac:dyDescent="0.35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488"/>
      <c r="L859" s="488"/>
      <c r="M859" s="488"/>
      <c r="N859" s="488"/>
      <c r="O859" s="488"/>
      <c r="P859" s="488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5.75" customHeight="1" x14ac:dyDescent="0.35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488"/>
      <c r="L860" s="488"/>
      <c r="M860" s="488"/>
      <c r="N860" s="488"/>
      <c r="O860" s="488"/>
      <c r="P860" s="488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5.75" customHeight="1" x14ac:dyDescent="0.35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488"/>
      <c r="L861" s="488"/>
      <c r="M861" s="488"/>
      <c r="N861" s="488"/>
      <c r="O861" s="488"/>
      <c r="P861" s="488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5.75" customHeight="1" x14ac:dyDescent="0.35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488"/>
      <c r="L862" s="488"/>
      <c r="M862" s="488"/>
      <c r="N862" s="488"/>
      <c r="O862" s="488"/>
      <c r="P862" s="488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5.75" customHeight="1" x14ac:dyDescent="0.35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488"/>
      <c r="L863" s="488"/>
      <c r="M863" s="488"/>
      <c r="N863" s="488"/>
      <c r="O863" s="488"/>
      <c r="P863" s="488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5.75" customHeight="1" x14ac:dyDescent="0.35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488"/>
      <c r="L864" s="488"/>
      <c r="M864" s="488"/>
      <c r="N864" s="488"/>
      <c r="O864" s="488"/>
      <c r="P864" s="488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5.75" customHeight="1" x14ac:dyDescent="0.3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488"/>
      <c r="L865" s="488"/>
      <c r="M865" s="488"/>
      <c r="N865" s="488"/>
      <c r="O865" s="488"/>
      <c r="P865" s="488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5.75" customHeight="1" x14ac:dyDescent="0.35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488"/>
      <c r="L866" s="488"/>
      <c r="M866" s="488"/>
      <c r="N866" s="488"/>
      <c r="O866" s="488"/>
      <c r="P866" s="488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5.75" customHeight="1" x14ac:dyDescent="0.35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488"/>
      <c r="L867" s="488"/>
      <c r="M867" s="488"/>
      <c r="N867" s="488"/>
      <c r="O867" s="488"/>
      <c r="P867" s="488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5.75" customHeight="1" x14ac:dyDescent="0.35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488"/>
      <c r="L868" s="488"/>
      <c r="M868" s="488"/>
      <c r="N868" s="488"/>
      <c r="O868" s="488"/>
      <c r="P868" s="488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5.75" customHeight="1" x14ac:dyDescent="0.35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488"/>
      <c r="L869" s="488"/>
      <c r="M869" s="488"/>
      <c r="N869" s="488"/>
      <c r="O869" s="488"/>
      <c r="P869" s="488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5.75" customHeight="1" x14ac:dyDescent="0.35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488"/>
      <c r="L870" s="488"/>
      <c r="M870" s="488"/>
      <c r="N870" s="488"/>
      <c r="O870" s="488"/>
      <c r="P870" s="488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5.75" customHeight="1" x14ac:dyDescent="0.35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488"/>
      <c r="L871" s="488"/>
      <c r="M871" s="488"/>
      <c r="N871" s="488"/>
      <c r="O871" s="488"/>
      <c r="P871" s="488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5.75" customHeight="1" x14ac:dyDescent="0.35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488"/>
      <c r="L872" s="488"/>
      <c r="M872" s="488"/>
      <c r="N872" s="488"/>
      <c r="O872" s="488"/>
      <c r="P872" s="488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5.75" customHeight="1" x14ac:dyDescent="0.35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488"/>
      <c r="L873" s="488"/>
      <c r="M873" s="488"/>
      <c r="N873" s="488"/>
      <c r="O873" s="488"/>
      <c r="P873" s="488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5.75" customHeight="1" x14ac:dyDescent="0.35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488"/>
      <c r="L874" s="488"/>
      <c r="M874" s="488"/>
      <c r="N874" s="488"/>
      <c r="O874" s="488"/>
      <c r="P874" s="488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5.75" customHeight="1" x14ac:dyDescent="0.3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488"/>
      <c r="L875" s="488"/>
      <c r="M875" s="488"/>
      <c r="N875" s="488"/>
      <c r="O875" s="488"/>
      <c r="P875" s="488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5.75" customHeight="1" x14ac:dyDescent="0.35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488"/>
      <c r="L876" s="488"/>
      <c r="M876" s="488"/>
      <c r="N876" s="488"/>
      <c r="O876" s="488"/>
      <c r="P876" s="488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5.75" customHeight="1" x14ac:dyDescent="0.35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488"/>
      <c r="L877" s="488"/>
      <c r="M877" s="488"/>
      <c r="N877" s="488"/>
      <c r="O877" s="488"/>
      <c r="P877" s="488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5.75" customHeight="1" x14ac:dyDescent="0.35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488"/>
      <c r="L878" s="488"/>
      <c r="M878" s="488"/>
      <c r="N878" s="488"/>
      <c r="O878" s="488"/>
      <c r="P878" s="488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5.75" customHeight="1" x14ac:dyDescent="0.35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488"/>
      <c r="L879" s="488"/>
      <c r="M879" s="488"/>
      <c r="N879" s="488"/>
      <c r="O879" s="488"/>
      <c r="P879" s="488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5.75" customHeight="1" x14ac:dyDescent="0.35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488"/>
      <c r="L880" s="488"/>
      <c r="M880" s="488"/>
      <c r="N880" s="488"/>
      <c r="O880" s="488"/>
      <c r="P880" s="488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5.75" customHeight="1" x14ac:dyDescent="0.35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488"/>
      <c r="L881" s="488"/>
      <c r="M881" s="488"/>
      <c r="N881" s="488"/>
      <c r="O881" s="488"/>
      <c r="P881" s="488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5.75" customHeight="1" x14ac:dyDescent="0.35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488"/>
      <c r="L882" s="488"/>
      <c r="M882" s="488"/>
      <c r="N882" s="488"/>
      <c r="O882" s="488"/>
      <c r="P882" s="488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5.75" customHeight="1" x14ac:dyDescent="0.35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488"/>
      <c r="L883" s="488"/>
      <c r="M883" s="488"/>
      <c r="N883" s="488"/>
      <c r="O883" s="488"/>
      <c r="P883" s="488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5.75" customHeight="1" x14ac:dyDescent="0.35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488"/>
      <c r="L884" s="488"/>
      <c r="M884" s="488"/>
      <c r="N884" s="488"/>
      <c r="O884" s="488"/>
      <c r="P884" s="488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5.75" customHeight="1" x14ac:dyDescent="0.3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488"/>
      <c r="L885" s="488"/>
      <c r="M885" s="488"/>
      <c r="N885" s="488"/>
      <c r="O885" s="488"/>
      <c r="P885" s="488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5.75" customHeight="1" x14ac:dyDescent="0.35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488"/>
      <c r="L886" s="488"/>
      <c r="M886" s="488"/>
      <c r="N886" s="488"/>
      <c r="O886" s="488"/>
      <c r="P886" s="488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5.75" customHeight="1" x14ac:dyDescent="0.35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488"/>
      <c r="L887" s="488"/>
      <c r="M887" s="488"/>
      <c r="N887" s="488"/>
      <c r="O887" s="488"/>
      <c r="P887" s="488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5.75" customHeight="1" x14ac:dyDescent="0.35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488"/>
      <c r="L888" s="488"/>
      <c r="M888" s="488"/>
      <c r="N888" s="488"/>
      <c r="O888" s="488"/>
      <c r="P888" s="488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5.75" customHeight="1" x14ac:dyDescent="0.35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488"/>
      <c r="L889" s="488"/>
      <c r="M889" s="488"/>
      <c r="N889" s="488"/>
      <c r="O889" s="488"/>
      <c r="P889" s="488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5.75" customHeight="1" x14ac:dyDescent="0.35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488"/>
      <c r="L890" s="488"/>
      <c r="M890" s="488"/>
      <c r="N890" s="488"/>
      <c r="O890" s="488"/>
      <c r="P890" s="488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5.75" customHeight="1" x14ac:dyDescent="0.35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488"/>
      <c r="L891" s="488"/>
      <c r="M891" s="488"/>
      <c r="N891" s="488"/>
      <c r="O891" s="488"/>
      <c r="P891" s="488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5.75" customHeight="1" x14ac:dyDescent="0.35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488"/>
      <c r="L892" s="488"/>
      <c r="M892" s="488"/>
      <c r="N892" s="488"/>
      <c r="O892" s="488"/>
      <c r="P892" s="488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5.75" customHeight="1" x14ac:dyDescent="0.35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488"/>
      <c r="L893" s="488"/>
      <c r="M893" s="488"/>
      <c r="N893" s="488"/>
      <c r="O893" s="488"/>
      <c r="P893" s="488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5.75" customHeight="1" x14ac:dyDescent="0.35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488"/>
      <c r="L894" s="488"/>
      <c r="M894" s="488"/>
      <c r="N894" s="488"/>
      <c r="O894" s="488"/>
      <c r="P894" s="488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5.75" customHeight="1" x14ac:dyDescent="0.3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488"/>
      <c r="L895" s="488"/>
      <c r="M895" s="488"/>
      <c r="N895" s="488"/>
      <c r="O895" s="488"/>
      <c r="P895" s="488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5.75" customHeight="1" x14ac:dyDescent="0.35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488"/>
      <c r="L896" s="488"/>
      <c r="M896" s="488"/>
      <c r="N896" s="488"/>
      <c r="O896" s="488"/>
      <c r="P896" s="488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5.75" customHeight="1" x14ac:dyDescent="0.35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488"/>
      <c r="L897" s="488"/>
      <c r="M897" s="488"/>
      <c r="N897" s="488"/>
      <c r="O897" s="488"/>
      <c r="P897" s="488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5.75" customHeight="1" x14ac:dyDescent="0.35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488"/>
      <c r="L898" s="488"/>
      <c r="M898" s="488"/>
      <c r="N898" s="488"/>
      <c r="O898" s="488"/>
      <c r="P898" s="488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5.75" customHeight="1" x14ac:dyDescent="0.35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488"/>
      <c r="L899" s="488"/>
      <c r="M899" s="488"/>
      <c r="N899" s="488"/>
      <c r="O899" s="488"/>
      <c r="P899" s="488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5.75" customHeight="1" x14ac:dyDescent="0.35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488"/>
      <c r="L900" s="488"/>
      <c r="M900" s="488"/>
      <c r="N900" s="488"/>
      <c r="O900" s="488"/>
      <c r="P900" s="488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5.75" customHeight="1" x14ac:dyDescent="0.35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488"/>
      <c r="L901" s="488"/>
      <c r="M901" s="488"/>
      <c r="N901" s="488"/>
      <c r="O901" s="488"/>
      <c r="P901" s="488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5.75" customHeight="1" x14ac:dyDescent="0.35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488"/>
      <c r="L902" s="488"/>
      <c r="M902" s="488"/>
      <c r="N902" s="488"/>
      <c r="O902" s="488"/>
      <c r="P902" s="488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5.75" customHeight="1" x14ac:dyDescent="0.35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488"/>
      <c r="L903" s="488"/>
      <c r="M903" s="488"/>
      <c r="N903" s="488"/>
      <c r="O903" s="488"/>
      <c r="P903" s="488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5.75" customHeight="1" x14ac:dyDescent="0.35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488"/>
      <c r="L904" s="488"/>
      <c r="M904" s="488"/>
      <c r="N904" s="488"/>
      <c r="O904" s="488"/>
      <c r="P904" s="488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5.75" customHeight="1" x14ac:dyDescent="0.3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488"/>
      <c r="L905" s="488"/>
      <c r="M905" s="488"/>
      <c r="N905" s="488"/>
      <c r="O905" s="488"/>
      <c r="P905" s="488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5.75" customHeight="1" x14ac:dyDescent="0.35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488"/>
      <c r="L906" s="488"/>
      <c r="M906" s="488"/>
      <c r="N906" s="488"/>
      <c r="O906" s="488"/>
      <c r="P906" s="488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5.75" customHeight="1" x14ac:dyDescent="0.35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488"/>
      <c r="L907" s="488"/>
      <c r="M907" s="488"/>
      <c r="N907" s="488"/>
      <c r="O907" s="488"/>
      <c r="P907" s="488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5.75" customHeight="1" x14ac:dyDescent="0.35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488"/>
      <c r="L908" s="488"/>
      <c r="M908" s="488"/>
      <c r="N908" s="488"/>
      <c r="O908" s="488"/>
      <c r="P908" s="488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5.75" customHeight="1" x14ac:dyDescent="0.35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488"/>
      <c r="L909" s="488"/>
      <c r="M909" s="488"/>
      <c r="N909" s="488"/>
      <c r="O909" s="488"/>
      <c r="P909" s="488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5.75" customHeight="1" x14ac:dyDescent="0.35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488"/>
      <c r="L910" s="488"/>
      <c r="M910" s="488"/>
      <c r="N910" s="488"/>
      <c r="O910" s="488"/>
      <c r="P910" s="488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5.75" customHeight="1" x14ac:dyDescent="0.35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488"/>
      <c r="L911" s="488"/>
      <c r="M911" s="488"/>
      <c r="N911" s="488"/>
      <c r="O911" s="488"/>
      <c r="P911" s="488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5.75" customHeight="1" x14ac:dyDescent="0.35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488"/>
      <c r="L912" s="488"/>
      <c r="M912" s="488"/>
      <c r="N912" s="488"/>
      <c r="O912" s="488"/>
      <c r="P912" s="488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5.75" customHeight="1" x14ac:dyDescent="0.35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488"/>
      <c r="L913" s="488"/>
      <c r="M913" s="488"/>
      <c r="N913" s="488"/>
      <c r="O913" s="488"/>
      <c r="P913" s="488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5.75" customHeight="1" x14ac:dyDescent="0.35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488"/>
      <c r="L914" s="488"/>
      <c r="M914" s="488"/>
      <c r="N914" s="488"/>
      <c r="O914" s="488"/>
      <c r="P914" s="488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5.75" customHeight="1" x14ac:dyDescent="0.3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488"/>
      <c r="L915" s="488"/>
      <c r="M915" s="488"/>
      <c r="N915" s="488"/>
      <c r="O915" s="488"/>
      <c r="P915" s="488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5.75" customHeight="1" x14ac:dyDescent="0.35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488"/>
      <c r="L916" s="488"/>
      <c r="M916" s="488"/>
      <c r="N916" s="488"/>
      <c r="O916" s="488"/>
      <c r="P916" s="488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5.75" customHeight="1" x14ac:dyDescent="0.35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488"/>
      <c r="L917" s="488"/>
      <c r="M917" s="488"/>
      <c r="N917" s="488"/>
      <c r="O917" s="488"/>
      <c r="P917" s="488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5.75" customHeight="1" x14ac:dyDescent="0.35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488"/>
      <c r="L918" s="488"/>
      <c r="M918" s="488"/>
      <c r="N918" s="488"/>
      <c r="O918" s="488"/>
      <c r="P918" s="488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5.75" customHeight="1" x14ac:dyDescent="0.35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488"/>
      <c r="L919" s="488"/>
      <c r="M919" s="488"/>
      <c r="N919" s="488"/>
      <c r="O919" s="488"/>
      <c r="P919" s="488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5.75" customHeight="1" x14ac:dyDescent="0.35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488"/>
      <c r="L920" s="488"/>
      <c r="M920" s="488"/>
      <c r="N920" s="488"/>
      <c r="O920" s="488"/>
      <c r="P920" s="488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5.75" customHeight="1" x14ac:dyDescent="0.35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488"/>
      <c r="L921" s="488"/>
      <c r="M921" s="488"/>
      <c r="N921" s="488"/>
      <c r="O921" s="488"/>
      <c r="P921" s="488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5.75" customHeight="1" x14ac:dyDescent="0.35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488"/>
      <c r="L922" s="488"/>
      <c r="M922" s="488"/>
      <c r="N922" s="488"/>
      <c r="O922" s="488"/>
      <c r="P922" s="488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5.75" customHeight="1" x14ac:dyDescent="0.35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488"/>
      <c r="L923" s="488"/>
      <c r="M923" s="488"/>
      <c r="N923" s="488"/>
      <c r="O923" s="488"/>
      <c r="P923" s="488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5.75" customHeight="1" x14ac:dyDescent="0.35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488"/>
      <c r="L924" s="488"/>
      <c r="M924" s="488"/>
      <c r="N924" s="488"/>
      <c r="O924" s="488"/>
      <c r="P924" s="488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5.75" customHeight="1" x14ac:dyDescent="0.3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488"/>
      <c r="L925" s="488"/>
      <c r="M925" s="488"/>
      <c r="N925" s="488"/>
      <c r="O925" s="488"/>
      <c r="P925" s="488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5.75" customHeight="1" x14ac:dyDescent="0.35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488"/>
      <c r="L926" s="488"/>
      <c r="M926" s="488"/>
      <c r="N926" s="488"/>
      <c r="O926" s="488"/>
      <c r="P926" s="488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5.75" customHeight="1" x14ac:dyDescent="0.35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488"/>
      <c r="L927" s="488"/>
      <c r="M927" s="488"/>
      <c r="N927" s="488"/>
      <c r="O927" s="488"/>
      <c r="P927" s="488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5.75" customHeight="1" x14ac:dyDescent="0.35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488"/>
      <c r="L928" s="488"/>
      <c r="M928" s="488"/>
      <c r="N928" s="488"/>
      <c r="O928" s="488"/>
      <c r="P928" s="488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5.75" customHeight="1" x14ac:dyDescent="0.35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488"/>
      <c r="L929" s="488"/>
      <c r="M929" s="488"/>
      <c r="N929" s="488"/>
      <c r="O929" s="488"/>
      <c r="P929" s="488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5.75" customHeight="1" x14ac:dyDescent="0.35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488"/>
      <c r="L930" s="488"/>
      <c r="M930" s="488"/>
      <c r="N930" s="488"/>
      <c r="O930" s="488"/>
      <c r="P930" s="488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5.75" customHeight="1" x14ac:dyDescent="0.35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488"/>
      <c r="L931" s="488"/>
      <c r="M931" s="488"/>
      <c r="N931" s="488"/>
      <c r="O931" s="488"/>
      <c r="P931" s="488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5.75" customHeight="1" x14ac:dyDescent="0.35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488"/>
      <c r="L932" s="488"/>
      <c r="M932" s="488"/>
      <c r="N932" s="488"/>
      <c r="O932" s="488"/>
      <c r="P932" s="488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5.75" customHeight="1" x14ac:dyDescent="0.35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488"/>
      <c r="L933" s="488"/>
      <c r="M933" s="488"/>
      <c r="N933" s="488"/>
      <c r="O933" s="488"/>
      <c r="P933" s="488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5.75" customHeight="1" x14ac:dyDescent="0.35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488"/>
      <c r="L934" s="488"/>
      <c r="M934" s="488"/>
      <c r="N934" s="488"/>
      <c r="O934" s="488"/>
      <c r="P934" s="488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5.75" customHeight="1" x14ac:dyDescent="0.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488"/>
      <c r="L935" s="488"/>
      <c r="M935" s="488"/>
      <c r="N935" s="488"/>
      <c r="O935" s="488"/>
      <c r="P935" s="488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5.75" customHeight="1" x14ac:dyDescent="0.35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488"/>
      <c r="L936" s="488"/>
      <c r="M936" s="488"/>
      <c r="N936" s="488"/>
      <c r="O936" s="488"/>
      <c r="P936" s="488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5.75" customHeight="1" x14ac:dyDescent="0.35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488"/>
      <c r="L937" s="488"/>
      <c r="M937" s="488"/>
      <c r="N937" s="488"/>
      <c r="O937" s="488"/>
      <c r="P937" s="488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5.75" customHeight="1" x14ac:dyDescent="0.35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488"/>
      <c r="L938" s="488"/>
      <c r="M938" s="488"/>
      <c r="N938" s="488"/>
      <c r="O938" s="488"/>
      <c r="P938" s="488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5.75" customHeight="1" x14ac:dyDescent="0.35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488"/>
      <c r="L939" s="488"/>
      <c r="M939" s="488"/>
      <c r="N939" s="488"/>
      <c r="O939" s="488"/>
      <c r="P939" s="488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5.75" customHeight="1" x14ac:dyDescent="0.35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488"/>
      <c r="L940" s="488"/>
      <c r="M940" s="488"/>
      <c r="N940" s="488"/>
      <c r="O940" s="488"/>
      <c r="P940" s="488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5.75" customHeight="1" x14ac:dyDescent="0.35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488"/>
      <c r="L941" s="488"/>
      <c r="M941" s="488"/>
      <c r="N941" s="488"/>
      <c r="O941" s="488"/>
      <c r="P941" s="488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5.75" customHeight="1" x14ac:dyDescent="0.35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488"/>
      <c r="L942" s="488"/>
      <c r="M942" s="488"/>
      <c r="N942" s="488"/>
      <c r="O942" s="488"/>
      <c r="P942" s="488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5.75" customHeight="1" x14ac:dyDescent="0.35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488"/>
      <c r="L943" s="488"/>
      <c r="M943" s="488"/>
      <c r="N943" s="488"/>
      <c r="O943" s="488"/>
      <c r="P943" s="488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5.75" customHeight="1" x14ac:dyDescent="0.35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488"/>
      <c r="L944" s="488"/>
      <c r="M944" s="488"/>
      <c r="N944" s="488"/>
      <c r="O944" s="488"/>
      <c r="P944" s="488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5.75" customHeight="1" x14ac:dyDescent="0.3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488"/>
      <c r="L945" s="488"/>
      <c r="M945" s="488"/>
      <c r="N945" s="488"/>
      <c r="O945" s="488"/>
      <c r="P945" s="488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5.75" customHeight="1" x14ac:dyDescent="0.35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488"/>
      <c r="L946" s="488"/>
      <c r="M946" s="488"/>
      <c r="N946" s="488"/>
      <c r="O946" s="488"/>
      <c r="P946" s="488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5.75" customHeight="1" x14ac:dyDescent="0.35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488"/>
      <c r="L947" s="488"/>
      <c r="M947" s="488"/>
      <c r="N947" s="488"/>
      <c r="O947" s="488"/>
      <c r="P947" s="488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5.75" customHeight="1" x14ac:dyDescent="0.35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488"/>
      <c r="L948" s="488"/>
      <c r="M948" s="488"/>
      <c r="N948" s="488"/>
      <c r="O948" s="488"/>
      <c r="P948" s="488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5.75" customHeight="1" x14ac:dyDescent="0.35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488"/>
      <c r="L949" s="488"/>
      <c r="M949" s="488"/>
      <c r="N949" s="488"/>
      <c r="O949" s="488"/>
      <c r="P949" s="488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5.75" customHeight="1" x14ac:dyDescent="0.35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488"/>
      <c r="L950" s="488"/>
      <c r="M950" s="488"/>
      <c r="N950" s="488"/>
      <c r="O950" s="488"/>
      <c r="P950" s="488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5.75" customHeight="1" x14ac:dyDescent="0.35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488"/>
      <c r="L951" s="488"/>
      <c r="M951" s="488"/>
      <c r="N951" s="488"/>
      <c r="O951" s="488"/>
      <c r="P951" s="488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5.75" customHeight="1" x14ac:dyDescent="0.35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488"/>
      <c r="L952" s="488"/>
      <c r="M952" s="488"/>
      <c r="N952" s="488"/>
      <c r="O952" s="488"/>
      <c r="P952" s="488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5.75" customHeight="1" x14ac:dyDescent="0.35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488"/>
      <c r="L953" s="488"/>
      <c r="M953" s="488"/>
      <c r="N953" s="488"/>
      <c r="O953" s="488"/>
      <c r="P953" s="488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5.75" customHeight="1" x14ac:dyDescent="0.35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488"/>
      <c r="L954" s="488"/>
      <c r="M954" s="488"/>
      <c r="N954" s="488"/>
      <c r="O954" s="488"/>
      <c r="P954" s="488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5.75" customHeight="1" x14ac:dyDescent="0.3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488"/>
      <c r="L955" s="488"/>
      <c r="M955" s="488"/>
      <c r="N955" s="488"/>
      <c r="O955" s="488"/>
      <c r="P955" s="488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5.75" customHeight="1" x14ac:dyDescent="0.35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488"/>
      <c r="L956" s="488"/>
      <c r="M956" s="488"/>
      <c r="N956" s="488"/>
      <c r="O956" s="488"/>
      <c r="P956" s="488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5.75" customHeight="1" x14ac:dyDescent="0.35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488"/>
      <c r="L957" s="488"/>
      <c r="M957" s="488"/>
      <c r="N957" s="488"/>
      <c r="O957" s="488"/>
      <c r="P957" s="488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5.75" customHeight="1" x14ac:dyDescent="0.35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488"/>
      <c r="L958" s="488"/>
      <c r="M958" s="488"/>
      <c r="N958" s="488"/>
      <c r="O958" s="488"/>
      <c r="P958" s="488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5.75" customHeight="1" x14ac:dyDescent="0.35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488"/>
      <c r="L959" s="488"/>
      <c r="M959" s="488"/>
      <c r="N959" s="488"/>
      <c r="O959" s="488"/>
      <c r="P959" s="488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5.75" customHeight="1" x14ac:dyDescent="0.35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488"/>
      <c r="L960" s="488"/>
      <c r="M960" s="488"/>
      <c r="N960" s="488"/>
      <c r="O960" s="488"/>
      <c r="P960" s="488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5.75" customHeight="1" x14ac:dyDescent="0.35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488"/>
      <c r="L961" s="488"/>
      <c r="M961" s="488"/>
      <c r="N961" s="488"/>
      <c r="O961" s="488"/>
      <c r="P961" s="488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5.75" customHeight="1" x14ac:dyDescent="0.35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488"/>
      <c r="L962" s="488"/>
      <c r="M962" s="488"/>
      <c r="N962" s="488"/>
      <c r="O962" s="488"/>
      <c r="P962" s="488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5.75" customHeight="1" x14ac:dyDescent="0.35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488"/>
      <c r="L963" s="488"/>
      <c r="M963" s="488"/>
      <c r="N963" s="488"/>
      <c r="O963" s="488"/>
      <c r="P963" s="488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5.75" customHeight="1" x14ac:dyDescent="0.35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488"/>
      <c r="L964" s="488"/>
      <c r="M964" s="488"/>
      <c r="N964" s="488"/>
      <c r="O964" s="488"/>
      <c r="P964" s="488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5.75" customHeight="1" x14ac:dyDescent="0.3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488"/>
      <c r="L965" s="488"/>
      <c r="M965" s="488"/>
      <c r="N965" s="488"/>
      <c r="O965" s="488"/>
      <c r="P965" s="488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5.75" customHeight="1" x14ac:dyDescent="0.35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488"/>
      <c r="L966" s="488"/>
      <c r="M966" s="488"/>
      <c r="N966" s="488"/>
      <c r="O966" s="488"/>
      <c r="P966" s="488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5.75" customHeight="1" x14ac:dyDescent="0.35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488"/>
      <c r="L967" s="488"/>
      <c r="M967" s="488"/>
      <c r="N967" s="488"/>
      <c r="O967" s="488"/>
      <c r="P967" s="488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5.75" customHeight="1" x14ac:dyDescent="0.35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488"/>
      <c r="L968" s="488"/>
      <c r="M968" s="488"/>
      <c r="N968" s="488"/>
      <c r="O968" s="488"/>
      <c r="P968" s="488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5.75" customHeight="1" x14ac:dyDescent="0.35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488"/>
      <c r="L969" s="488"/>
      <c r="M969" s="488"/>
      <c r="N969" s="488"/>
      <c r="O969" s="488"/>
      <c r="P969" s="488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5.75" customHeight="1" x14ac:dyDescent="0.35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488"/>
      <c r="L970" s="488"/>
      <c r="M970" s="488"/>
      <c r="N970" s="488"/>
      <c r="O970" s="488"/>
      <c r="P970" s="488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5.75" customHeight="1" x14ac:dyDescent="0.35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488"/>
      <c r="L971" s="488"/>
      <c r="M971" s="488"/>
      <c r="N971" s="488"/>
      <c r="O971" s="488"/>
      <c r="P971" s="488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5.75" customHeight="1" x14ac:dyDescent="0.35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488"/>
      <c r="L972" s="488"/>
      <c r="M972" s="488"/>
      <c r="N972" s="488"/>
      <c r="O972" s="488"/>
      <c r="P972" s="488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5.75" customHeight="1" x14ac:dyDescent="0.35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488"/>
      <c r="L973" s="488"/>
      <c r="M973" s="488"/>
      <c r="N973" s="488"/>
      <c r="O973" s="488"/>
      <c r="P973" s="488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5.75" customHeight="1" x14ac:dyDescent="0.35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488"/>
      <c r="L974" s="488"/>
      <c r="M974" s="488"/>
      <c r="N974" s="488"/>
      <c r="O974" s="488"/>
      <c r="P974" s="488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5.75" customHeight="1" x14ac:dyDescent="0.3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488"/>
      <c r="L975" s="488"/>
      <c r="M975" s="488"/>
      <c r="N975" s="488"/>
      <c r="O975" s="488"/>
      <c r="P975" s="488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5.75" customHeight="1" x14ac:dyDescent="0.35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488"/>
      <c r="L976" s="488"/>
      <c r="M976" s="488"/>
      <c r="N976" s="488"/>
      <c r="O976" s="488"/>
      <c r="P976" s="488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5.75" customHeight="1" x14ac:dyDescent="0.35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488"/>
      <c r="L977" s="488"/>
      <c r="M977" s="488"/>
      <c r="N977" s="488"/>
      <c r="O977" s="488"/>
      <c r="P977" s="488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5.75" customHeight="1" x14ac:dyDescent="0.35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488"/>
      <c r="L978" s="488"/>
      <c r="M978" s="488"/>
      <c r="N978" s="488"/>
      <c r="O978" s="488"/>
      <c r="P978" s="488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5.75" customHeight="1" x14ac:dyDescent="0.35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488"/>
      <c r="L979" s="488"/>
      <c r="M979" s="488"/>
      <c r="N979" s="488"/>
      <c r="O979" s="488"/>
      <c r="P979" s="488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5.75" customHeight="1" x14ac:dyDescent="0.35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488"/>
      <c r="L980" s="488"/>
      <c r="M980" s="488"/>
      <c r="N980" s="488"/>
      <c r="O980" s="488"/>
      <c r="P980" s="488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5.75" customHeight="1" x14ac:dyDescent="0.35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488"/>
      <c r="L981" s="488"/>
      <c r="M981" s="488"/>
      <c r="N981" s="488"/>
      <c r="O981" s="488"/>
      <c r="P981" s="488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5.75" customHeight="1" x14ac:dyDescent="0.35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488"/>
      <c r="L982" s="488"/>
      <c r="M982" s="488"/>
      <c r="N982" s="488"/>
      <c r="O982" s="488"/>
      <c r="P982" s="488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5.75" customHeight="1" x14ac:dyDescent="0.35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488"/>
      <c r="L983" s="488"/>
      <c r="M983" s="488"/>
      <c r="N983" s="488"/>
      <c r="O983" s="488"/>
      <c r="P983" s="488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5.75" customHeight="1" x14ac:dyDescent="0.35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488"/>
      <c r="L984" s="488"/>
      <c r="M984" s="488"/>
      <c r="N984" s="488"/>
      <c r="O984" s="488"/>
      <c r="P984" s="488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5.75" customHeight="1" x14ac:dyDescent="0.3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488"/>
      <c r="L985" s="488"/>
      <c r="M985" s="488"/>
      <c r="N985" s="488"/>
      <c r="O985" s="488"/>
      <c r="P985" s="488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5.75" customHeight="1" x14ac:dyDescent="0.35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488"/>
      <c r="L986" s="488"/>
      <c r="M986" s="488"/>
      <c r="N986" s="488"/>
      <c r="O986" s="488"/>
      <c r="P986" s="488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5.75" customHeight="1" x14ac:dyDescent="0.35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488"/>
      <c r="L987" s="488"/>
      <c r="M987" s="488"/>
      <c r="N987" s="488"/>
      <c r="O987" s="488"/>
      <c r="P987" s="488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5.75" customHeight="1" x14ac:dyDescent="0.35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488"/>
      <c r="L988" s="488"/>
      <c r="M988" s="488"/>
      <c r="N988" s="488"/>
      <c r="O988" s="488"/>
      <c r="P988" s="488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5.75" customHeight="1" x14ac:dyDescent="0.35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488"/>
      <c r="L989" s="488"/>
      <c r="M989" s="488"/>
      <c r="N989" s="488"/>
      <c r="O989" s="488"/>
      <c r="P989" s="488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5.75" customHeight="1" x14ac:dyDescent="0.35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488"/>
      <c r="L990" s="488"/>
      <c r="M990" s="488"/>
      <c r="N990" s="488"/>
      <c r="O990" s="488"/>
      <c r="P990" s="488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5.75" customHeight="1" x14ac:dyDescent="0.35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488"/>
      <c r="L991" s="488"/>
      <c r="M991" s="488"/>
      <c r="N991" s="488"/>
      <c r="O991" s="488"/>
      <c r="P991" s="488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5.75" customHeight="1" x14ac:dyDescent="0.35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488"/>
      <c r="L992" s="488"/>
      <c r="M992" s="488"/>
      <c r="N992" s="488"/>
      <c r="O992" s="488"/>
      <c r="P992" s="488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5.75" customHeight="1" x14ac:dyDescent="0.35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488"/>
      <c r="L993" s="488"/>
      <c r="M993" s="488"/>
      <c r="N993" s="488"/>
      <c r="O993" s="488"/>
      <c r="P993" s="488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5.75" customHeight="1" x14ac:dyDescent="0.35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488"/>
      <c r="L994" s="488"/>
      <c r="M994" s="488"/>
      <c r="N994" s="488"/>
      <c r="O994" s="488"/>
      <c r="P994" s="488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5.75" customHeight="1" x14ac:dyDescent="0.3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488"/>
      <c r="L995" s="488"/>
      <c r="M995" s="488"/>
      <c r="N995" s="488"/>
      <c r="O995" s="488"/>
      <c r="P995" s="488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5.75" customHeight="1" x14ac:dyDescent="0.35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488"/>
      <c r="L996" s="488"/>
      <c r="M996" s="488"/>
      <c r="N996" s="488"/>
      <c r="O996" s="488"/>
      <c r="P996" s="488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5.75" customHeight="1" x14ac:dyDescent="0.35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488"/>
      <c r="L997" s="488"/>
      <c r="M997" s="488"/>
      <c r="N997" s="488"/>
      <c r="O997" s="488"/>
      <c r="P997" s="488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5.75" customHeight="1" x14ac:dyDescent="0.35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488"/>
      <c r="L998" s="488"/>
      <c r="M998" s="488"/>
      <c r="N998" s="488"/>
      <c r="O998" s="488"/>
      <c r="P998" s="488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5.75" customHeight="1" x14ac:dyDescent="0.35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488"/>
      <c r="L999" s="488"/>
      <c r="M999" s="488"/>
      <c r="N999" s="488"/>
      <c r="O999" s="488"/>
      <c r="P999" s="488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5.75" customHeight="1" x14ac:dyDescent="0.35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488"/>
      <c r="L1000" s="488"/>
      <c r="M1000" s="488"/>
      <c r="N1000" s="488"/>
      <c r="O1000" s="488"/>
      <c r="P1000" s="488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 spans="1:26" ht="15.75" customHeight="1" x14ac:dyDescent="0.35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488"/>
      <c r="L1001" s="488"/>
      <c r="M1001" s="488"/>
      <c r="N1001" s="488"/>
      <c r="O1001" s="488"/>
      <c r="P1001" s="488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 spans="1:26" ht="15.75" customHeight="1" x14ac:dyDescent="0.35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488"/>
      <c r="L1002" s="488"/>
      <c r="M1002" s="488"/>
      <c r="N1002" s="488"/>
      <c r="O1002" s="488"/>
      <c r="P1002" s="488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 spans="1:26" ht="15.75" customHeight="1" x14ac:dyDescent="0.35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488"/>
      <c r="L1003" s="488"/>
      <c r="M1003" s="488"/>
      <c r="N1003" s="488"/>
      <c r="O1003" s="488"/>
      <c r="P1003" s="488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 spans="1:26" ht="15.75" customHeight="1" x14ac:dyDescent="0.35">
      <c r="A1004" s="27"/>
      <c r="B1004" s="27"/>
      <c r="C1004" s="27"/>
      <c r="D1004" s="27"/>
      <c r="E1004" s="27"/>
      <c r="F1004" s="27"/>
      <c r="G1004" s="27"/>
      <c r="H1004" s="27"/>
      <c r="I1004" s="27"/>
      <c r="J1004" s="27"/>
      <c r="K1004" s="488"/>
      <c r="L1004" s="488"/>
      <c r="M1004" s="488"/>
      <c r="N1004" s="488"/>
      <c r="O1004" s="488"/>
      <c r="P1004" s="488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 spans="1:26" ht="15.75" customHeight="1" x14ac:dyDescent="0.35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488"/>
      <c r="L1005" s="488"/>
      <c r="M1005" s="488"/>
      <c r="N1005" s="488"/>
      <c r="O1005" s="488"/>
      <c r="P1005" s="488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 spans="1:26" ht="15.75" customHeight="1" x14ac:dyDescent="0.35">
      <c r="A1006" s="27"/>
      <c r="B1006" s="27"/>
      <c r="C1006" s="27"/>
      <c r="D1006" s="27"/>
      <c r="E1006" s="27"/>
      <c r="F1006" s="27"/>
      <c r="G1006" s="27"/>
      <c r="H1006" s="27"/>
      <c r="I1006" s="27"/>
      <c r="J1006" s="27"/>
      <c r="K1006" s="488"/>
      <c r="L1006" s="488"/>
      <c r="M1006" s="488"/>
      <c r="N1006" s="488"/>
      <c r="O1006" s="488"/>
      <c r="P1006" s="488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 spans="1:26" ht="15.75" customHeight="1" x14ac:dyDescent="0.35">
      <c r="A1007" s="27"/>
      <c r="B1007" s="27"/>
      <c r="C1007" s="27"/>
      <c r="D1007" s="27"/>
      <c r="E1007" s="27"/>
      <c r="F1007" s="27"/>
      <c r="G1007" s="27"/>
      <c r="H1007" s="27"/>
      <c r="I1007" s="27"/>
      <c r="J1007" s="27"/>
      <c r="K1007" s="488"/>
      <c r="L1007" s="488"/>
      <c r="M1007" s="488"/>
      <c r="N1007" s="488"/>
      <c r="O1007" s="488"/>
      <c r="P1007" s="488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 spans="1:26" ht="15.75" customHeight="1" x14ac:dyDescent="0.35">
      <c r="A1008" s="27"/>
      <c r="B1008" s="27"/>
      <c r="C1008" s="27"/>
      <c r="D1008" s="27"/>
      <c r="E1008" s="27"/>
      <c r="F1008" s="27"/>
      <c r="G1008" s="27"/>
      <c r="H1008" s="27"/>
      <c r="I1008" s="27"/>
      <c r="J1008" s="27"/>
      <c r="K1008" s="488"/>
      <c r="L1008" s="488"/>
      <c r="M1008" s="488"/>
      <c r="N1008" s="488"/>
      <c r="O1008" s="488"/>
      <c r="P1008" s="488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 spans="1:26" ht="15.75" customHeight="1" x14ac:dyDescent="0.35">
      <c r="A1009" s="27"/>
      <c r="B1009" s="27"/>
      <c r="C1009" s="27"/>
      <c r="D1009" s="27"/>
      <c r="E1009" s="27"/>
      <c r="F1009" s="27"/>
      <c r="G1009" s="27"/>
      <c r="H1009" s="27"/>
      <c r="I1009" s="27"/>
      <c r="J1009" s="27"/>
      <c r="K1009" s="488"/>
      <c r="L1009" s="488"/>
      <c r="M1009" s="488"/>
      <c r="N1009" s="488"/>
      <c r="O1009" s="488"/>
      <c r="P1009" s="488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 spans="1:26" ht="15.75" customHeight="1" x14ac:dyDescent="0.35">
      <c r="A1010" s="27"/>
      <c r="B1010" s="27"/>
      <c r="C1010" s="27"/>
      <c r="D1010" s="27"/>
      <c r="E1010" s="27"/>
      <c r="F1010" s="27"/>
      <c r="G1010" s="27"/>
      <c r="H1010" s="27"/>
      <c r="I1010" s="27"/>
      <c r="J1010" s="27"/>
      <c r="K1010" s="488"/>
      <c r="L1010" s="488"/>
      <c r="M1010" s="488"/>
      <c r="N1010" s="488"/>
      <c r="O1010" s="488"/>
      <c r="P1010" s="488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 spans="1:26" ht="15.75" customHeight="1" x14ac:dyDescent="0.35">
      <c r="A1011" s="27"/>
      <c r="B1011" s="27"/>
      <c r="C1011" s="27"/>
      <c r="D1011" s="27"/>
      <c r="E1011" s="27"/>
      <c r="F1011" s="27"/>
      <c r="G1011" s="27"/>
      <c r="H1011" s="27"/>
      <c r="I1011" s="27"/>
      <c r="J1011" s="27"/>
      <c r="K1011" s="488"/>
      <c r="L1011" s="488"/>
      <c r="M1011" s="488"/>
      <c r="N1011" s="488"/>
      <c r="O1011" s="488"/>
      <c r="P1011" s="488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</sheetData>
  <dataValidations count="1">
    <dataValidation type="custom" allowBlank="1" showInputMessage="1" showErrorMessage="1" prompt="Paye deducted - Enter numeric data of length less than  or equal to 15 characters. Special characters like ` ~ ! $ % ^ * ( ) @ # &amp; ' &quot; { } ; : &lt; &gt; ? / \ and comma are not allowed." sqref="F9:F27 F29 F31:F57 F59:F65 F67:F68 F70:F95 F102:F106 F108 F110:F120 F122:F123 F126:F128 F130:F134 F136:F142 F144:F145 F147:F161 F165:F172 F178 F188:F189 F191 F209 F213:F218 G220:G227 F228:G228 G229 F230:G241 F242:F244 F246 F279:F282 F284 F289:F312 F323 F328:F331 F333 F335:F345 F378:F382 F414:F419 F421:F423 F427:F434 E439:F443 F447:F450 F453 F477 F480:F483 F486 F492:F493" xr:uid="{00000000-0002-0000-0100-000000000000}">
      <formula1>LTE(LEN(E9),(15))</formula1>
    </dataValidation>
  </dataValidations>
  <pageMargins left="0.7" right="0.7" top="0.75" bottom="0.75" header="0" footer="0"/>
  <pageSetup orientation="portrait"/>
  <rowBreaks count="1" manualBreakCount="1">
    <brk id="44" man="1"/>
  </rowBreaks>
  <colBreaks count="1" manualBreakCount="1">
    <brk id="9" man="1"/>
  </col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10"/>
  <sheetViews>
    <sheetView tabSelected="1" workbookViewId="0">
      <selection activeCell="D228" sqref="D228"/>
    </sheetView>
  </sheetViews>
  <sheetFormatPr defaultColWidth="14.453125" defaultRowHeight="15" customHeight="1" x14ac:dyDescent="0.35"/>
  <cols>
    <col min="1" max="1" width="8.7265625" customWidth="1"/>
    <col min="2" max="2" width="16.453125" customWidth="1"/>
    <col min="3" max="3" width="23.81640625" customWidth="1"/>
    <col min="4" max="4" width="11.7265625" customWidth="1"/>
    <col min="5" max="5" width="19" customWidth="1"/>
    <col min="6" max="6" width="14.26953125" customWidth="1"/>
    <col min="7" max="26" width="8.7265625" customWidth="1"/>
  </cols>
  <sheetData>
    <row r="1" spans="1:6" ht="14.5" x14ac:dyDescent="0.35">
      <c r="B1" s="2" t="s">
        <v>0</v>
      </c>
      <c r="F1" s="8"/>
    </row>
    <row r="2" spans="1:6" ht="14.5" x14ac:dyDescent="0.35">
      <c r="A2" s="13"/>
      <c r="B2" s="16" t="s">
        <v>2</v>
      </c>
      <c r="C2" s="18" t="s">
        <v>3</v>
      </c>
      <c r="D2" s="21"/>
      <c r="E2" s="16" t="s">
        <v>5</v>
      </c>
      <c r="F2" s="22" t="s">
        <v>6</v>
      </c>
    </row>
    <row r="3" spans="1:6" ht="14.5" x14ac:dyDescent="0.35">
      <c r="A3" s="31"/>
      <c r="B3" s="37">
        <v>1</v>
      </c>
      <c r="C3" s="39" t="s">
        <v>8</v>
      </c>
      <c r="D3" s="40"/>
      <c r="E3" s="41" t="s">
        <v>11</v>
      </c>
      <c r="F3" s="44">
        <f>+Exp!L107</f>
        <v>0</v>
      </c>
    </row>
    <row r="4" spans="1:6" ht="14.5" x14ac:dyDescent="0.35">
      <c r="A4" s="31"/>
      <c r="B4" s="37">
        <v>2</v>
      </c>
      <c r="C4" s="39" t="s">
        <v>14</v>
      </c>
      <c r="D4" s="40"/>
      <c r="E4" s="41" t="s">
        <v>15</v>
      </c>
      <c r="F4" s="44">
        <f>+Exp!L152</f>
        <v>0</v>
      </c>
    </row>
    <row r="5" spans="1:6" ht="14.5" x14ac:dyDescent="0.35">
      <c r="A5" s="31"/>
      <c r="B5" s="37">
        <v>3</v>
      </c>
      <c r="C5" s="39" t="s">
        <v>18</v>
      </c>
      <c r="D5" s="40"/>
      <c r="E5" s="45" t="s">
        <v>20</v>
      </c>
      <c r="F5" s="44">
        <f>+Exp!L149</f>
        <v>0</v>
      </c>
    </row>
    <row r="6" spans="1:6" ht="14.5" x14ac:dyDescent="0.35">
      <c r="A6" s="31"/>
      <c r="B6" s="37">
        <v>4</v>
      </c>
      <c r="C6" s="40" t="s">
        <v>22</v>
      </c>
      <c r="D6" s="40"/>
      <c r="E6" s="45" t="s">
        <v>21</v>
      </c>
      <c r="F6" s="44">
        <f>+Exp!L45</f>
        <v>0</v>
      </c>
    </row>
    <row r="7" spans="1:6" ht="14.5" x14ac:dyDescent="0.35">
      <c r="A7" s="31"/>
      <c r="B7" s="37">
        <v>5</v>
      </c>
      <c r="C7" s="39" t="s">
        <v>23</v>
      </c>
      <c r="D7" s="40"/>
      <c r="E7" s="45" t="s">
        <v>25</v>
      </c>
      <c r="F7" s="44">
        <f>+Exp!L77</f>
        <v>0</v>
      </c>
    </row>
    <row r="8" spans="1:6" ht="14.5" x14ac:dyDescent="0.35">
      <c r="A8" s="31"/>
      <c r="B8" s="37">
        <v>6</v>
      </c>
      <c r="C8" s="40" t="s">
        <v>26</v>
      </c>
      <c r="D8" s="40"/>
      <c r="E8" s="45" t="s">
        <v>27</v>
      </c>
      <c r="F8" s="44">
        <f>+Exp!L82</f>
        <v>0</v>
      </c>
    </row>
    <row r="9" spans="1:6" ht="14.5" x14ac:dyDescent="0.35">
      <c r="A9" s="31"/>
      <c r="B9" s="37">
        <v>7</v>
      </c>
      <c r="C9" s="40" t="s">
        <v>28</v>
      </c>
      <c r="D9" s="40"/>
      <c r="E9" s="45" t="s">
        <v>29</v>
      </c>
      <c r="F9" s="44">
        <f>+Exp!L95</f>
        <v>0</v>
      </c>
    </row>
    <row r="10" spans="1:6" ht="14.5" x14ac:dyDescent="0.35">
      <c r="A10" s="31"/>
      <c r="B10" s="37">
        <v>8</v>
      </c>
      <c r="C10" s="40" t="s">
        <v>30</v>
      </c>
      <c r="D10" s="40"/>
      <c r="E10" s="39" t="s">
        <v>32</v>
      </c>
      <c r="F10" s="44">
        <f>+Exp!L133</f>
        <v>0</v>
      </c>
    </row>
    <row r="11" spans="1:6" ht="14.5" x14ac:dyDescent="0.35">
      <c r="A11" s="31"/>
      <c r="B11" s="37">
        <v>9</v>
      </c>
      <c r="C11" s="39" t="s">
        <v>38</v>
      </c>
      <c r="D11" s="40"/>
      <c r="E11" s="40" t="s">
        <v>42</v>
      </c>
      <c r="F11" s="44">
        <f>+Exp!L85</f>
        <v>0</v>
      </c>
    </row>
    <row r="12" spans="1:6" ht="14.5" x14ac:dyDescent="0.35">
      <c r="A12" s="31"/>
      <c r="B12" s="37">
        <v>10</v>
      </c>
      <c r="C12" s="39" t="s">
        <v>49</v>
      </c>
      <c r="D12" s="39"/>
      <c r="E12" s="45" t="s">
        <v>51</v>
      </c>
      <c r="F12" s="44">
        <f>+Exp!L106</f>
        <v>0</v>
      </c>
    </row>
    <row r="13" spans="1:6" ht="14.5" x14ac:dyDescent="0.35">
      <c r="A13" s="31"/>
      <c r="B13" s="37">
        <v>11</v>
      </c>
      <c r="C13" s="40" t="s">
        <v>52</v>
      </c>
      <c r="D13" s="39"/>
      <c r="E13" s="45" t="s">
        <v>54</v>
      </c>
      <c r="F13" s="44">
        <f>+Exp!L18</f>
        <v>0</v>
      </c>
    </row>
    <row r="14" spans="1:6" ht="14.5" x14ac:dyDescent="0.35">
      <c r="A14" s="31"/>
      <c r="B14" s="37">
        <v>12</v>
      </c>
      <c r="C14" s="77" t="s">
        <v>55</v>
      </c>
      <c r="D14" s="82"/>
      <c r="E14" s="85" t="s">
        <v>61</v>
      </c>
      <c r="F14" s="44">
        <f>+Exp!L182</f>
        <v>0</v>
      </c>
    </row>
    <row r="15" spans="1:6" ht="14.5" x14ac:dyDescent="0.35">
      <c r="A15" s="31"/>
      <c r="B15" s="37">
        <v>13</v>
      </c>
      <c r="C15" s="40" t="s">
        <v>65</v>
      </c>
      <c r="D15" s="40"/>
      <c r="E15" s="45" t="s">
        <v>66</v>
      </c>
      <c r="F15" s="44">
        <f>+Exp!L24</f>
        <v>0</v>
      </c>
    </row>
    <row r="16" spans="1:6" ht="14.5" x14ac:dyDescent="0.35">
      <c r="A16" s="31"/>
      <c r="B16" s="37">
        <v>14</v>
      </c>
      <c r="C16" s="40" t="s">
        <v>67</v>
      </c>
      <c r="D16" s="40"/>
      <c r="E16" s="45" t="s">
        <v>68</v>
      </c>
      <c r="F16" s="44">
        <f>+Exp!L166</f>
        <v>0</v>
      </c>
    </row>
    <row r="17" spans="1:6" ht="14.5" x14ac:dyDescent="0.35">
      <c r="A17" s="31"/>
      <c r="B17" s="37">
        <v>15</v>
      </c>
      <c r="C17" s="40" t="s">
        <v>69</v>
      </c>
      <c r="D17" s="40"/>
      <c r="E17" s="45" t="s">
        <v>71</v>
      </c>
      <c r="F17" s="44">
        <f>+Exp!L25</f>
        <v>0</v>
      </c>
    </row>
    <row r="18" spans="1:6" ht="14.5" x14ac:dyDescent="0.35">
      <c r="A18" s="31"/>
      <c r="B18" s="37">
        <v>16</v>
      </c>
      <c r="C18" s="40" t="s">
        <v>70</v>
      </c>
      <c r="D18" s="40"/>
      <c r="E18" s="45" t="s">
        <v>72</v>
      </c>
      <c r="F18" s="44">
        <f>+Exp!L75</f>
        <v>0</v>
      </c>
    </row>
    <row r="19" spans="1:6" ht="15.75" customHeight="1" x14ac:dyDescent="0.35">
      <c r="A19" s="31"/>
      <c r="B19" s="37">
        <v>18</v>
      </c>
      <c r="C19" s="40" t="s">
        <v>80</v>
      </c>
      <c r="D19" s="39"/>
      <c r="E19" s="45" t="s">
        <v>81</v>
      </c>
      <c r="F19" s="44">
        <f>+Exp!L76</f>
        <v>0</v>
      </c>
    </row>
    <row r="20" spans="1:6" ht="15.75" customHeight="1" x14ac:dyDescent="0.35">
      <c r="A20" s="31"/>
      <c r="B20" s="37">
        <v>19</v>
      </c>
      <c r="C20" s="39" t="s">
        <v>83</v>
      </c>
      <c r="D20" s="103"/>
      <c r="E20" s="104" t="s">
        <v>87</v>
      </c>
      <c r="F20" s="44">
        <f>+Exp!L110</f>
        <v>0</v>
      </c>
    </row>
    <row r="21" spans="1:6" ht="15.75" customHeight="1" x14ac:dyDescent="0.35">
      <c r="A21" s="31"/>
      <c r="B21" s="37">
        <v>20</v>
      </c>
      <c r="C21" s="39" t="s">
        <v>89</v>
      </c>
      <c r="D21" s="103"/>
      <c r="E21" s="45" t="s">
        <v>90</v>
      </c>
      <c r="F21" s="44">
        <f>+Exp!L108</f>
        <v>0</v>
      </c>
    </row>
    <row r="22" spans="1:6" ht="15.75" customHeight="1" x14ac:dyDescent="0.35">
      <c r="A22" s="31"/>
      <c r="B22" s="37">
        <v>21</v>
      </c>
      <c r="C22" s="77" t="s">
        <v>91</v>
      </c>
      <c r="D22" s="103"/>
      <c r="E22" s="85" t="s">
        <v>92</v>
      </c>
      <c r="F22" s="44">
        <f>+Exp!L93</f>
        <v>0</v>
      </c>
    </row>
    <row r="23" spans="1:6" ht="15.75" customHeight="1" x14ac:dyDescent="0.35">
      <c r="A23" s="31"/>
      <c r="B23" s="37">
        <v>22</v>
      </c>
      <c r="C23" s="40" t="s">
        <v>97</v>
      </c>
      <c r="D23" s="103"/>
      <c r="E23" s="39" t="s">
        <v>98</v>
      </c>
      <c r="F23" s="44">
        <f>+Exp!L56</f>
        <v>0</v>
      </c>
    </row>
    <row r="24" spans="1:6" ht="15.75" customHeight="1" x14ac:dyDescent="0.35">
      <c r="A24" s="31"/>
      <c r="B24" s="37">
        <v>23</v>
      </c>
      <c r="C24" s="77" t="s">
        <v>99</v>
      </c>
      <c r="D24" s="77"/>
      <c r="E24" s="77" t="s">
        <v>100</v>
      </c>
      <c r="F24" s="44">
        <f>+Exp!L96</f>
        <v>0</v>
      </c>
    </row>
    <row r="25" spans="1:6" ht="15.75" customHeight="1" x14ac:dyDescent="0.35">
      <c r="A25" s="31"/>
      <c r="B25" s="37">
        <v>24</v>
      </c>
      <c r="C25" s="39" t="s">
        <v>101</v>
      </c>
      <c r="D25" s="103"/>
      <c r="E25" s="45" t="s">
        <v>104</v>
      </c>
      <c r="F25" s="44">
        <f>+Exp!L15</f>
        <v>0</v>
      </c>
    </row>
    <row r="26" spans="1:6" ht="15.75" customHeight="1" x14ac:dyDescent="0.35">
      <c r="A26" s="31"/>
      <c r="B26" s="37">
        <v>25</v>
      </c>
      <c r="C26" s="39" t="s">
        <v>106</v>
      </c>
      <c r="D26" s="103"/>
      <c r="E26" s="85" t="s">
        <v>107</v>
      </c>
      <c r="F26" s="44">
        <f>+Exp!L72</f>
        <v>0</v>
      </c>
    </row>
    <row r="27" spans="1:6" ht="15.75" customHeight="1" x14ac:dyDescent="0.35">
      <c r="A27" s="31"/>
      <c r="B27" s="37">
        <v>26</v>
      </c>
      <c r="C27" s="77" t="s">
        <v>109</v>
      </c>
      <c r="D27" s="110"/>
      <c r="E27" s="77" t="s">
        <v>110</v>
      </c>
      <c r="F27" s="44">
        <f>+Exp!L43</f>
        <v>0</v>
      </c>
    </row>
    <row r="28" spans="1:6" ht="15.75" customHeight="1" x14ac:dyDescent="0.35">
      <c r="A28" s="31"/>
      <c r="B28" s="37">
        <v>27</v>
      </c>
      <c r="C28" s="40" t="s">
        <v>114</v>
      </c>
      <c r="D28" s="110"/>
      <c r="E28" s="40" t="s">
        <v>115</v>
      </c>
      <c r="F28" s="44">
        <f>+Exp!L90</f>
        <v>0</v>
      </c>
    </row>
    <row r="29" spans="1:6" ht="15.75" customHeight="1" x14ac:dyDescent="0.35">
      <c r="A29" s="31"/>
      <c r="B29" s="37">
        <v>28</v>
      </c>
      <c r="C29" s="40" t="s">
        <v>116</v>
      </c>
      <c r="D29" s="40"/>
      <c r="E29" s="40" t="s">
        <v>117</v>
      </c>
      <c r="F29" s="44">
        <f>+Exp!L142</f>
        <v>0</v>
      </c>
    </row>
    <row r="30" spans="1:6" ht="15.75" customHeight="1" x14ac:dyDescent="0.35">
      <c r="A30" s="31"/>
      <c r="B30" s="37">
        <v>29</v>
      </c>
      <c r="C30" s="111" t="s">
        <v>122</v>
      </c>
      <c r="D30" s="40"/>
      <c r="E30" s="85" t="s">
        <v>123</v>
      </c>
      <c r="F30" s="44">
        <f>+Exp!L51</f>
        <v>0</v>
      </c>
    </row>
    <row r="31" spans="1:6" ht="15.75" customHeight="1" x14ac:dyDescent="0.35">
      <c r="A31" s="31"/>
      <c r="B31" s="37">
        <v>30</v>
      </c>
      <c r="C31" s="77" t="s">
        <v>125</v>
      </c>
      <c r="D31" s="40"/>
      <c r="E31" s="77" t="s">
        <v>126</v>
      </c>
      <c r="F31" s="44">
        <f>+Exp!L158</f>
        <v>0</v>
      </c>
    </row>
    <row r="32" spans="1:6" ht="15.75" customHeight="1" x14ac:dyDescent="0.35">
      <c r="A32" s="31"/>
      <c r="B32" s="37">
        <v>31</v>
      </c>
      <c r="C32" s="40" t="s">
        <v>127</v>
      </c>
      <c r="D32" s="40"/>
      <c r="E32" s="85" t="s">
        <v>130</v>
      </c>
      <c r="F32" s="44">
        <f>+Exp!L100</f>
        <v>0</v>
      </c>
    </row>
    <row r="33" spans="1:6" ht="15.75" customHeight="1" x14ac:dyDescent="0.35">
      <c r="A33" s="31"/>
      <c r="B33" s="37">
        <v>32</v>
      </c>
      <c r="C33" s="40" t="s">
        <v>132</v>
      </c>
      <c r="D33" s="40"/>
      <c r="E33" s="85" t="s">
        <v>133</v>
      </c>
      <c r="F33" s="44">
        <f>+Exp!L84</f>
        <v>0</v>
      </c>
    </row>
    <row r="34" spans="1:6" ht="15.75" customHeight="1" x14ac:dyDescent="0.35">
      <c r="A34" s="31"/>
      <c r="B34" s="37">
        <v>33</v>
      </c>
      <c r="C34" s="40" t="s">
        <v>135</v>
      </c>
      <c r="D34" s="113"/>
      <c r="E34" s="114" t="s">
        <v>137</v>
      </c>
      <c r="F34" s="44">
        <f>+Exp!L19</f>
        <v>0</v>
      </c>
    </row>
    <row r="35" spans="1:6" ht="15.75" customHeight="1" x14ac:dyDescent="0.35">
      <c r="A35" s="31"/>
      <c r="B35" s="37">
        <v>34</v>
      </c>
      <c r="C35" s="39" t="s">
        <v>141</v>
      </c>
      <c r="D35" s="39"/>
      <c r="E35" s="115" t="s">
        <v>142</v>
      </c>
      <c r="F35" s="44">
        <f>+Exp!L112</f>
        <v>0</v>
      </c>
    </row>
    <row r="36" spans="1:6" ht="15.75" customHeight="1" x14ac:dyDescent="0.35">
      <c r="A36" s="31"/>
      <c r="B36" s="37">
        <v>35</v>
      </c>
      <c r="C36" s="40" t="s">
        <v>147</v>
      </c>
      <c r="D36" s="103"/>
      <c r="E36" s="39" t="s">
        <v>148</v>
      </c>
      <c r="F36" s="44">
        <f>+Exp!L179</f>
        <v>0</v>
      </c>
    </row>
    <row r="37" spans="1:6" ht="15.75" customHeight="1" x14ac:dyDescent="0.35">
      <c r="A37" s="31"/>
      <c r="B37" s="37">
        <v>36</v>
      </c>
      <c r="C37" s="40" t="s">
        <v>152</v>
      </c>
      <c r="D37" s="103"/>
      <c r="E37" s="39" t="s">
        <v>155</v>
      </c>
      <c r="F37" s="44">
        <f>+Exp!L141</f>
        <v>0</v>
      </c>
    </row>
    <row r="38" spans="1:6" ht="15.75" customHeight="1" x14ac:dyDescent="0.35">
      <c r="A38" s="31"/>
      <c r="B38" s="37">
        <v>37</v>
      </c>
      <c r="C38" s="40" t="s">
        <v>156</v>
      </c>
      <c r="D38" s="40"/>
      <c r="E38" s="40" t="s">
        <v>158</v>
      </c>
      <c r="F38" s="44">
        <f>+Exp!L16</f>
        <v>0</v>
      </c>
    </row>
    <row r="39" spans="1:6" ht="15.75" customHeight="1" x14ac:dyDescent="0.35">
      <c r="A39" s="31"/>
      <c r="B39" s="37">
        <v>38</v>
      </c>
      <c r="C39" s="40" t="s">
        <v>161</v>
      </c>
      <c r="D39" s="103"/>
      <c r="E39" s="40" t="s">
        <v>162</v>
      </c>
      <c r="F39" s="44">
        <f>+Exp!L121</f>
        <v>0</v>
      </c>
    </row>
    <row r="40" spans="1:6" ht="15.75" customHeight="1" x14ac:dyDescent="0.35">
      <c r="A40" s="31"/>
      <c r="B40" s="37">
        <v>39</v>
      </c>
      <c r="C40" s="121" t="s">
        <v>165</v>
      </c>
      <c r="D40" s="39"/>
      <c r="E40" s="45" t="s">
        <v>168</v>
      </c>
      <c r="F40" s="44">
        <f>+Exp!L125</f>
        <v>0</v>
      </c>
    </row>
    <row r="41" spans="1:6" ht="15.75" customHeight="1" x14ac:dyDescent="0.35">
      <c r="A41" s="31"/>
      <c r="B41" s="37">
        <v>40</v>
      </c>
      <c r="C41" s="40" t="s">
        <v>170</v>
      </c>
      <c r="D41" s="39"/>
      <c r="E41" s="39" t="s">
        <v>173</v>
      </c>
      <c r="F41" s="44">
        <f>+Exp!L105</f>
        <v>0</v>
      </c>
    </row>
    <row r="42" spans="1:6" ht="15.75" customHeight="1" x14ac:dyDescent="0.35">
      <c r="A42" s="31"/>
      <c r="B42" s="37">
        <v>41</v>
      </c>
      <c r="C42" s="40" t="s">
        <v>174</v>
      </c>
      <c r="D42" s="39"/>
      <c r="E42" s="40" t="s">
        <v>175</v>
      </c>
      <c r="F42" s="44">
        <f>+Exp!L74</f>
        <v>0</v>
      </c>
    </row>
    <row r="43" spans="1:6" ht="15.75" customHeight="1" x14ac:dyDescent="0.35">
      <c r="A43" s="31"/>
      <c r="B43" s="37">
        <v>42</v>
      </c>
      <c r="C43" s="40" t="s">
        <v>180</v>
      </c>
      <c r="D43" s="39"/>
      <c r="E43" s="40" t="s">
        <v>181</v>
      </c>
      <c r="F43" s="44">
        <f>+Exp!L32</f>
        <v>0</v>
      </c>
    </row>
    <row r="44" spans="1:6" ht="15.75" customHeight="1" x14ac:dyDescent="0.35">
      <c r="A44" s="31"/>
      <c r="B44" s="37">
        <v>43</v>
      </c>
      <c r="C44" s="40" t="s">
        <v>182</v>
      </c>
      <c r="D44" s="39"/>
      <c r="E44" s="40" t="s">
        <v>186</v>
      </c>
      <c r="F44" s="44">
        <f>+Exp!L171</f>
        <v>0</v>
      </c>
    </row>
    <row r="45" spans="1:6" ht="15.75" customHeight="1" x14ac:dyDescent="0.35">
      <c r="A45" s="31"/>
      <c r="B45" s="37">
        <v>44</v>
      </c>
      <c r="C45" s="40" t="s">
        <v>189</v>
      </c>
      <c r="D45" s="39"/>
      <c r="E45" s="40" t="s">
        <v>190</v>
      </c>
      <c r="F45" s="44">
        <f>+Exp!L148</f>
        <v>0</v>
      </c>
    </row>
    <row r="46" spans="1:6" ht="15.75" customHeight="1" x14ac:dyDescent="0.35">
      <c r="A46" s="31"/>
      <c r="B46" s="37">
        <v>45</v>
      </c>
      <c r="C46" s="40" t="s">
        <v>103</v>
      </c>
      <c r="D46" s="113"/>
      <c r="E46" s="124" t="s">
        <v>193</v>
      </c>
      <c r="F46" s="44">
        <f>+Exp!L12</f>
        <v>0</v>
      </c>
    </row>
    <row r="47" spans="1:6" ht="15.75" customHeight="1" x14ac:dyDescent="0.35">
      <c r="A47" s="31"/>
      <c r="B47" s="37">
        <v>46</v>
      </c>
      <c r="C47" s="40" t="s">
        <v>196</v>
      </c>
      <c r="D47" s="103"/>
      <c r="E47" s="39" t="s">
        <v>198</v>
      </c>
      <c r="F47" s="44">
        <f>+Exp!L97</f>
        <v>0</v>
      </c>
    </row>
    <row r="48" spans="1:6" ht="15.75" customHeight="1" x14ac:dyDescent="0.35">
      <c r="A48" s="31"/>
      <c r="B48" s="37">
        <v>47</v>
      </c>
      <c r="C48" s="40" t="s">
        <v>199</v>
      </c>
      <c r="D48" s="125"/>
      <c r="E48" s="125" t="s">
        <v>202</v>
      </c>
      <c r="F48" s="44">
        <f>+Exp!L68</f>
        <v>0</v>
      </c>
    </row>
    <row r="49" spans="1:6" ht="15.75" customHeight="1" x14ac:dyDescent="0.35">
      <c r="A49" s="31"/>
      <c r="B49" s="37">
        <v>48</v>
      </c>
      <c r="C49" s="40" t="s">
        <v>204</v>
      </c>
      <c r="D49" s="103"/>
      <c r="E49" s="39" t="s">
        <v>205</v>
      </c>
      <c r="F49" s="44">
        <f>+Exp!L192</f>
        <v>0</v>
      </c>
    </row>
    <row r="50" spans="1:6" ht="15.75" customHeight="1" x14ac:dyDescent="0.35">
      <c r="A50" s="31"/>
      <c r="B50" s="37">
        <v>49</v>
      </c>
      <c r="C50" s="40" t="s">
        <v>207</v>
      </c>
      <c r="D50" s="103"/>
      <c r="E50" s="39" t="s">
        <v>208</v>
      </c>
      <c r="F50" s="44">
        <f>+Exp!L184</f>
        <v>0</v>
      </c>
    </row>
    <row r="51" spans="1:6" ht="15.75" customHeight="1" x14ac:dyDescent="0.35">
      <c r="A51" s="31"/>
      <c r="B51" s="37">
        <v>50</v>
      </c>
      <c r="C51" s="40" t="s">
        <v>112</v>
      </c>
      <c r="D51" s="103"/>
      <c r="E51" s="39" t="s">
        <v>212</v>
      </c>
      <c r="F51" s="44">
        <f>+Exp!L13</f>
        <v>0</v>
      </c>
    </row>
    <row r="52" spans="1:6" ht="15.75" customHeight="1" x14ac:dyDescent="0.35">
      <c r="A52" s="31"/>
      <c r="B52" s="37">
        <v>51</v>
      </c>
      <c r="C52" s="40" t="s">
        <v>217</v>
      </c>
      <c r="D52" s="103"/>
      <c r="E52" s="39" t="s">
        <v>218</v>
      </c>
      <c r="F52" s="44">
        <f>+Exp!L146</f>
        <v>0</v>
      </c>
    </row>
    <row r="53" spans="1:6" ht="15.75" customHeight="1" x14ac:dyDescent="0.35">
      <c r="A53" s="31"/>
      <c r="B53" s="37">
        <v>52</v>
      </c>
      <c r="C53" s="40" t="s">
        <v>224</v>
      </c>
      <c r="D53" s="103"/>
      <c r="E53" s="39" t="s">
        <v>226</v>
      </c>
      <c r="F53" s="44">
        <f>+Exp!L66</f>
        <v>0</v>
      </c>
    </row>
    <row r="54" spans="1:6" ht="15.75" customHeight="1" x14ac:dyDescent="0.35">
      <c r="A54" s="31"/>
      <c r="B54" s="37">
        <v>53</v>
      </c>
      <c r="C54" s="40" t="s">
        <v>232</v>
      </c>
      <c r="D54" s="103"/>
      <c r="E54" s="39" t="s">
        <v>233</v>
      </c>
      <c r="F54" s="44">
        <f>+Exp!L94</f>
        <v>0</v>
      </c>
    </row>
    <row r="55" spans="1:6" ht="15.75" customHeight="1" x14ac:dyDescent="0.35">
      <c r="A55" s="31"/>
      <c r="B55" s="37">
        <v>54</v>
      </c>
      <c r="C55" s="40" t="s">
        <v>236</v>
      </c>
      <c r="D55" s="103"/>
      <c r="E55" s="39" t="s">
        <v>240</v>
      </c>
      <c r="F55" s="44">
        <f>+Exp!L78</f>
        <v>0</v>
      </c>
    </row>
    <row r="56" spans="1:6" ht="15.75" customHeight="1" x14ac:dyDescent="0.35">
      <c r="A56" s="31"/>
      <c r="B56" s="37">
        <v>55</v>
      </c>
      <c r="C56" s="40" t="s">
        <v>241</v>
      </c>
      <c r="D56" s="126"/>
      <c r="E56" s="124" t="s">
        <v>242</v>
      </c>
      <c r="F56" s="44">
        <f>+Exp!L21</f>
        <v>0</v>
      </c>
    </row>
    <row r="57" spans="1:6" ht="15.75" customHeight="1" x14ac:dyDescent="0.35">
      <c r="A57" s="31"/>
      <c r="B57" s="37">
        <v>56</v>
      </c>
      <c r="C57" s="40" t="s">
        <v>246</v>
      </c>
      <c r="D57" s="103"/>
      <c r="E57" s="39" t="s">
        <v>247</v>
      </c>
      <c r="F57" s="44">
        <f>+Exp!L98</f>
        <v>0</v>
      </c>
    </row>
    <row r="58" spans="1:6" ht="15.75" customHeight="1" x14ac:dyDescent="0.35">
      <c r="A58" s="31"/>
      <c r="B58" s="37">
        <v>57</v>
      </c>
      <c r="C58" s="40" t="s">
        <v>249</v>
      </c>
      <c r="D58" s="103"/>
      <c r="E58" s="39" t="s">
        <v>252</v>
      </c>
      <c r="F58" s="44">
        <f>+Exp!L186</f>
        <v>0</v>
      </c>
    </row>
    <row r="59" spans="1:6" ht="15.75" customHeight="1" x14ac:dyDescent="0.35">
      <c r="A59" s="31"/>
      <c r="B59" s="37">
        <v>58</v>
      </c>
      <c r="C59" s="40" t="s">
        <v>253</v>
      </c>
      <c r="D59" s="103"/>
      <c r="E59" s="39" t="s">
        <v>254</v>
      </c>
      <c r="F59" s="44">
        <f>+Exp!L187</f>
        <v>0</v>
      </c>
    </row>
    <row r="60" spans="1:6" ht="15.75" customHeight="1" x14ac:dyDescent="0.35">
      <c r="A60" s="31"/>
      <c r="B60" s="37">
        <v>59</v>
      </c>
      <c r="C60" s="40" t="s">
        <v>258</v>
      </c>
      <c r="D60" s="125"/>
      <c r="E60" s="125" t="s">
        <v>260</v>
      </c>
      <c r="F60" s="44">
        <f>+Exp!L156</f>
        <v>0</v>
      </c>
    </row>
    <row r="61" spans="1:6" ht="15.75" customHeight="1" x14ac:dyDescent="0.35">
      <c r="A61" s="31"/>
      <c r="B61" s="37">
        <v>60</v>
      </c>
      <c r="C61" s="40" t="s">
        <v>262</v>
      </c>
      <c r="D61" s="103"/>
      <c r="E61" s="39" t="s">
        <v>264</v>
      </c>
      <c r="F61" s="44">
        <f>+Exp!L104</f>
        <v>0</v>
      </c>
    </row>
    <row r="62" spans="1:6" ht="15.75" customHeight="1" x14ac:dyDescent="0.35">
      <c r="A62" s="31"/>
      <c r="B62" s="37">
        <v>61</v>
      </c>
      <c r="C62" s="40" t="s">
        <v>265</v>
      </c>
      <c r="D62" s="125"/>
      <c r="E62" s="125" t="s">
        <v>267</v>
      </c>
      <c r="F62" s="44">
        <f>+Exp!L165</f>
        <v>0</v>
      </c>
    </row>
    <row r="63" spans="1:6" ht="15.75" customHeight="1" x14ac:dyDescent="0.35">
      <c r="A63" s="31"/>
      <c r="B63" s="37">
        <v>62</v>
      </c>
      <c r="C63" s="40" t="s">
        <v>270</v>
      </c>
      <c r="D63" s="103"/>
      <c r="E63" s="39" t="s">
        <v>271</v>
      </c>
      <c r="F63" s="44">
        <f>+Exp!L111</f>
        <v>0</v>
      </c>
    </row>
    <row r="64" spans="1:6" ht="15.75" customHeight="1" x14ac:dyDescent="0.35">
      <c r="A64" s="31"/>
      <c r="B64" s="37">
        <v>63</v>
      </c>
      <c r="C64" s="40" t="s">
        <v>275</v>
      </c>
      <c r="D64" s="103"/>
      <c r="E64" s="39" t="s">
        <v>276</v>
      </c>
      <c r="F64" s="44">
        <f>+Exp!L117</f>
        <v>0</v>
      </c>
    </row>
    <row r="65" spans="1:6" ht="15.75" customHeight="1" x14ac:dyDescent="0.35">
      <c r="A65" s="31"/>
      <c r="B65" s="37">
        <v>64</v>
      </c>
      <c r="C65" s="40" t="s">
        <v>278</v>
      </c>
      <c r="D65" s="103"/>
      <c r="E65" s="39" t="s">
        <v>281</v>
      </c>
      <c r="F65" s="44">
        <f>+Exp!L185</f>
        <v>0</v>
      </c>
    </row>
    <row r="66" spans="1:6" ht="15.75" customHeight="1" x14ac:dyDescent="0.35">
      <c r="A66" s="31"/>
      <c r="B66" s="37">
        <v>65</v>
      </c>
      <c r="C66" s="40" t="s">
        <v>283</v>
      </c>
      <c r="D66" s="103"/>
      <c r="E66" s="39" t="s">
        <v>284</v>
      </c>
      <c r="F66" s="44">
        <f>+Exp!L113</f>
        <v>0</v>
      </c>
    </row>
    <row r="67" spans="1:6" ht="15.75" customHeight="1" x14ac:dyDescent="0.35">
      <c r="A67" s="31"/>
      <c r="B67" s="37">
        <v>66</v>
      </c>
      <c r="C67" s="40" t="s">
        <v>293</v>
      </c>
      <c r="D67" s="103"/>
      <c r="E67" s="39" t="s">
        <v>295</v>
      </c>
      <c r="F67" s="44">
        <f>+Exp!L41</f>
        <v>0</v>
      </c>
    </row>
    <row r="68" spans="1:6" ht="15.75" customHeight="1" x14ac:dyDescent="0.35">
      <c r="A68" s="31"/>
      <c r="B68" s="37">
        <v>67</v>
      </c>
      <c r="C68" s="40" t="s">
        <v>298</v>
      </c>
      <c r="D68" s="103"/>
      <c r="E68" s="39" t="s">
        <v>299</v>
      </c>
      <c r="F68" s="44">
        <f>+Exp!L70</f>
        <v>0</v>
      </c>
    </row>
    <row r="69" spans="1:6" ht="15.75" customHeight="1" x14ac:dyDescent="0.35">
      <c r="A69" s="31"/>
      <c r="B69" s="37">
        <v>68</v>
      </c>
      <c r="C69" s="40" t="s">
        <v>300</v>
      </c>
      <c r="D69" s="103"/>
      <c r="E69" s="39" t="s">
        <v>301</v>
      </c>
      <c r="F69" s="44">
        <f>+Exp!L188</f>
        <v>0</v>
      </c>
    </row>
    <row r="70" spans="1:6" ht="15.75" customHeight="1" x14ac:dyDescent="0.35">
      <c r="A70" s="31"/>
      <c r="B70" s="37">
        <v>69</v>
      </c>
      <c r="C70" s="40" t="s">
        <v>305</v>
      </c>
      <c r="D70" s="126"/>
      <c r="E70" s="124" t="s">
        <v>306</v>
      </c>
      <c r="F70" s="44">
        <f>+Exp!L87</f>
        <v>0</v>
      </c>
    </row>
    <row r="71" spans="1:6" ht="15.75" customHeight="1" x14ac:dyDescent="0.35">
      <c r="A71" s="31"/>
      <c r="B71" s="37">
        <v>70</v>
      </c>
      <c r="C71" s="40" t="s">
        <v>307</v>
      </c>
      <c r="D71" s="126"/>
      <c r="E71" s="124" t="s">
        <v>308</v>
      </c>
      <c r="F71" s="44">
        <f>+Exp!L159</f>
        <v>0</v>
      </c>
    </row>
    <row r="72" spans="1:6" ht="15.75" customHeight="1" x14ac:dyDescent="0.35">
      <c r="A72" s="31"/>
      <c r="B72" s="37">
        <v>71</v>
      </c>
      <c r="C72" s="40" t="s">
        <v>310</v>
      </c>
      <c r="D72" s="126"/>
      <c r="E72" s="124" t="s">
        <v>311</v>
      </c>
      <c r="F72" s="44">
        <f>+Exp!L161</f>
        <v>0</v>
      </c>
    </row>
    <row r="73" spans="1:6" ht="15.75" customHeight="1" x14ac:dyDescent="0.35">
      <c r="A73" s="31"/>
      <c r="B73" s="37">
        <v>72</v>
      </c>
      <c r="C73" s="40" t="s">
        <v>312</v>
      </c>
      <c r="D73" s="39"/>
      <c r="E73" s="45" t="s">
        <v>314</v>
      </c>
      <c r="F73" s="44">
        <f>+Exp!L153</f>
        <v>0</v>
      </c>
    </row>
    <row r="74" spans="1:6" ht="15.75" customHeight="1" x14ac:dyDescent="0.35">
      <c r="A74" s="31"/>
      <c r="B74" s="37">
        <v>73</v>
      </c>
      <c r="C74" s="77" t="s">
        <v>318</v>
      </c>
      <c r="D74" s="82"/>
      <c r="E74" s="77" t="s">
        <v>319</v>
      </c>
      <c r="F74" s="44">
        <f>+Exp!L196</f>
        <v>0</v>
      </c>
    </row>
    <row r="75" spans="1:6" ht="15.75" customHeight="1" x14ac:dyDescent="0.35">
      <c r="A75" s="31"/>
      <c r="B75" s="37">
        <v>74</v>
      </c>
      <c r="C75" s="77" t="s">
        <v>322</v>
      </c>
      <c r="D75" s="82"/>
      <c r="E75" s="77" t="s">
        <v>323</v>
      </c>
      <c r="F75" s="44">
        <f>+Exp!L139</f>
        <v>0</v>
      </c>
    </row>
    <row r="76" spans="1:6" ht="15.75" customHeight="1" x14ac:dyDescent="0.35">
      <c r="A76" s="31"/>
      <c r="B76" s="37">
        <v>75</v>
      </c>
      <c r="C76" s="77" t="s">
        <v>327</v>
      </c>
      <c r="D76" s="82"/>
      <c r="E76" s="77" t="s">
        <v>329</v>
      </c>
      <c r="F76" s="44">
        <f>+Exp!L88</f>
        <v>0</v>
      </c>
    </row>
    <row r="77" spans="1:6" ht="15.75" customHeight="1" x14ac:dyDescent="0.35">
      <c r="A77" s="31"/>
      <c r="B77" s="37">
        <v>76</v>
      </c>
      <c r="C77" s="77" t="s">
        <v>333</v>
      </c>
      <c r="D77" s="82"/>
      <c r="E77" s="77" t="s">
        <v>334</v>
      </c>
      <c r="F77" s="44">
        <f>+Exp!L151</f>
        <v>0</v>
      </c>
    </row>
    <row r="78" spans="1:6" ht="15.75" customHeight="1" x14ac:dyDescent="0.35">
      <c r="A78" s="31"/>
      <c r="B78" s="37">
        <v>77</v>
      </c>
      <c r="C78" s="77" t="s">
        <v>335</v>
      </c>
      <c r="D78" s="82"/>
      <c r="E78" s="77" t="s">
        <v>337</v>
      </c>
      <c r="F78" s="44">
        <f>+Exp!L128</f>
        <v>0</v>
      </c>
    </row>
    <row r="79" spans="1:6" ht="15.75" customHeight="1" x14ac:dyDescent="0.35">
      <c r="A79" s="31"/>
      <c r="B79" s="37">
        <v>78</v>
      </c>
      <c r="C79" s="77" t="s">
        <v>342</v>
      </c>
      <c r="D79" s="82"/>
      <c r="E79" s="85" t="s">
        <v>343</v>
      </c>
      <c r="F79" s="44">
        <f>+Exp!L174</f>
        <v>0</v>
      </c>
    </row>
    <row r="80" spans="1:6" ht="15.75" customHeight="1" x14ac:dyDescent="0.35">
      <c r="A80" s="31"/>
      <c r="B80" s="37">
        <v>79</v>
      </c>
      <c r="C80" s="77" t="s">
        <v>344</v>
      </c>
      <c r="D80" s="82"/>
      <c r="E80" s="82">
        <v>6005849274</v>
      </c>
      <c r="F80" s="44">
        <f>+Exp!L137</f>
        <v>0</v>
      </c>
    </row>
    <row r="81" spans="1:6" ht="15.75" customHeight="1" x14ac:dyDescent="0.35">
      <c r="A81" s="31"/>
      <c r="B81" s="37">
        <v>80</v>
      </c>
      <c r="C81" s="77" t="s">
        <v>346</v>
      </c>
      <c r="D81" s="134"/>
      <c r="E81" s="110" t="s">
        <v>349</v>
      </c>
      <c r="F81" s="44">
        <f>+Exp!L191</f>
        <v>0</v>
      </c>
    </row>
    <row r="82" spans="1:6" ht="15.75" customHeight="1" x14ac:dyDescent="0.35">
      <c r="A82" s="31"/>
      <c r="B82" s="37">
        <v>81</v>
      </c>
      <c r="C82" s="40" t="s">
        <v>353</v>
      </c>
      <c r="D82" s="135"/>
      <c r="E82" s="114" t="s">
        <v>354</v>
      </c>
      <c r="F82" s="44">
        <f>+Exp!L67</f>
        <v>0</v>
      </c>
    </row>
    <row r="83" spans="1:6" ht="15.75" customHeight="1" x14ac:dyDescent="0.35">
      <c r="A83" s="31"/>
      <c r="B83" s="37">
        <v>82</v>
      </c>
      <c r="C83" s="40" t="s">
        <v>358</v>
      </c>
      <c r="D83" s="77"/>
      <c r="E83" s="45">
        <v>6006151580</v>
      </c>
      <c r="F83" s="44">
        <f>+Exp!L115</f>
        <v>0</v>
      </c>
    </row>
    <row r="84" spans="1:6" ht="15.75" customHeight="1" x14ac:dyDescent="0.35">
      <c r="A84" s="31"/>
      <c r="B84" s="37">
        <v>83</v>
      </c>
      <c r="C84" s="40" t="s">
        <v>360</v>
      </c>
      <c r="D84" s="77"/>
      <c r="E84" s="45">
        <v>6008615347</v>
      </c>
      <c r="F84" s="44">
        <f>+Exp!L53</f>
        <v>0</v>
      </c>
    </row>
    <row r="85" spans="1:6" ht="15.75" customHeight="1" x14ac:dyDescent="0.35">
      <c r="A85" s="31"/>
      <c r="B85" s="37">
        <v>84</v>
      </c>
      <c r="C85" s="40" t="s">
        <v>363</v>
      </c>
      <c r="D85" s="77"/>
      <c r="E85" s="45" t="s">
        <v>364</v>
      </c>
      <c r="F85" s="44">
        <f>+Exp!L122</f>
        <v>0</v>
      </c>
    </row>
    <row r="86" spans="1:6" ht="15.75" customHeight="1" x14ac:dyDescent="0.35">
      <c r="A86" s="31"/>
      <c r="B86" s="37">
        <v>85</v>
      </c>
      <c r="C86" s="40" t="s">
        <v>367</v>
      </c>
      <c r="D86" s="77"/>
      <c r="E86" s="45">
        <v>6008741946</v>
      </c>
      <c r="F86" s="44">
        <f>+Exp!L155</f>
        <v>0</v>
      </c>
    </row>
    <row r="87" spans="1:6" ht="15.75" customHeight="1" x14ac:dyDescent="0.35">
      <c r="A87" s="31"/>
      <c r="B87" s="37">
        <v>87</v>
      </c>
      <c r="C87" s="40" t="s">
        <v>59</v>
      </c>
      <c r="D87" s="77"/>
      <c r="E87" s="45">
        <v>6008586126</v>
      </c>
      <c r="F87" s="44">
        <f>+Exp!L8</f>
        <v>0</v>
      </c>
    </row>
    <row r="88" spans="1:6" ht="15.75" customHeight="1" x14ac:dyDescent="0.35">
      <c r="A88" s="31"/>
      <c r="B88" s="37">
        <v>88</v>
      </c>
      <c r="C88" s="40" t="s">
        <v>373</v>
      </c>
      <c r="D88" s="77"/>
      <c r="E88" s="45" t="s">
        <v>374</v>
      </c>
      <c r="F88" s="44">
        <f>+Exp!L189</f>
        <v>0</v>
      </c>
    </row>
    <row r="89" spans="1:6" ht="15.75" customHeight="1" x14ac:dyDescent="0.35">
      <c r="A89" s="31"/>
      <c r="B89" s="37">
        <v>89</v>
      </c>
      <c r="C89" s="40" t="s">
        <v>377</v>
      </c>
      <c r="D89" s="39"/>
      <c r="E89" s="85" t="s">
        <v>379</v>
      </c>
      <c r="F89" s="44">
        <f>+Exp!L157</f>
        <v>0</v>
      </c>
    </row>
    <row r="90" spans="1:6" ht="15.75" customHeight="1" x14ac:dyDescent="0.35">
      <c r="A90" s="31"/>
      <c r="B90" s="37">
        <v>90</v>
      </c>
      <c r="C90" s="40" t="s">
        <v>382</v>
      </c>
      <c r="D90" s="39"/>
      <c r="E90" s="45" t="s">
        <v>383</v>
      </c>
      <c r="F90" s="44">
        <f>+Exp!L124</f>
        <v>0</v>
      </c>
    </row>
    <row r="91" spans="1:6" ht="15.75" customHeight="1" x14ac:dyDescent="0.35">
      <c r="A91" s="31"/>
      <c r="B91" s="37">
        <v>91</v>
      </c>
      <c r="C91" s="40" t="s">
        <v>384</v>
      </c>
      <c r="D91" s="39"/>
      <c r="E91" s="45" t="s">
        <v>389</v>
      </c>
      <c r="F91" s="44">
        <f>+Exp!L181</f>
        <v>0</v>
      </c>
    </row>
    <row r="92" spans="1:6" ht="15.75" customHeight="1" x14ac:dyDescent="0.35">
      <c r="A92" s="31"/>
      <c r="B92" s="37">
        <v>92</v>
      </c>
      <c r="C92" s="40" t="s">
        <v>391</v>
      </c>
      <c r="D92" s="39"/>
      <c r="E92" s="45" t="s">
        <v>393</v>
      </c>
      <c r="F92" s="44">
        <f>+Exp!L118</f>
        <v>0</v>
      </c>
    </row>
    <row r="93" spans="1:6" ht="15.75" customHeight="1" x14ac:dyDescent="0.35">
      <c r="A93" s="31"/>
      <c r="B93" s="37">
        <v>93</v>
      </c>
      <c r="C93" s="40" t="s">
        <v>398</v>
      </c>
      <c r="D93" s="39"/>
      <c r="E93" s="40" t="s">
        <v>401</v>
      </c>
      <c r="F93" s="44">
        <f>+Exp!L198</f>
        <v>0</v>
      </c>
    </row>
    <row r="94" spans="1:6" ht="15.75" customHeight="1" x14ac:dyDescent="0.35">
      <c r="A94" s="31"/>
      <c r="B94" s="37">
        <v>94</v>
      </c>
      <c r="C94" s="40" t="s">
        <v>402</v>
      </c>
      <c r="D94" s="39"/>
      <c r="E94" s="40" t="s">
        <v>404</v>
      </c>
      <c r="F94" s="44">
        <f>+Exp!L195</f>
        <v>0</v>
      </c>
    </row>
    <row r="95" spans="1:6" ht="15.75" customHeight="1" x14ac:dyDescent="0.35">
      <c r="A95" s="31"/>
      <c r="B95" s="37">
        <v>95</v>
      </c>
      <c r="C95" s="121" t="s">
        <v>86</v>
      </c>
      <c r="D95" s="39"/>
      <c r="E95" s="40" t="s">
        <v>408</v>
      </c>
      <c r="F95" s="44">
        <f>+Exp!L9</f>
        <v>0</v>
      </c>
    </row>
    <row r="96" spans="1:6" ht="15.75" customHeight="1" x14ac:dyDescent="0.35">
      <c r="A96" s="31"/>
      <c r="B96" s="37">
        <v>96</v>
      </c>
      <c r="C96" s="40" t="s">
        <v>411</v>
      </c>
      <c r="D96" s="39"/>
      <c r="E96" s="45" t="s">
        <v>413</v>
      </c>
      <c r="F96" s="44">
        <f>+Exp!L136</f>
        <v>0</v>
      </c>
    </row>
    <row r="97" spans="1:6" ht="15.75" customHeight="1" x14ac:dyDescent="0.35">
      <c r="A97" s="31"/>
      <c r="B97" s="37">
        <v>97</v>
      </c>
      <c r="C97" s="40" t="s">
        <v>414</v>
      </c>
      <c r="D97" s="39"/>
      <c r="E97" s="45" t="s">
        <v>415</v>
      </c>
      <c r="F97" s="44">
        <f>+Exp!L197</f>
        <v>0</v>
      </c>
    </row>
    <row r="98" spans="1:6" ht="15.75" customHeight="1" x14ac:dyDescent="0.35">
      <c r="A98" s="31"/>
      <c r="B98" s="37">
        <v>98</v>
      </c>
      <c r="C98" s="40" t="s">
        <v>419</v>
      </c>
      <c r="D98" s="39"/>
      <c r="E98" s="45" t="s">
        <v>420</v>
      </c>
      <c r="F98" s="44">
        <f>+Exp!L144</f>
        <v>0</v>
      </c>
    </row>
    <row r="99" spans="1:6" ht="15.75" customHeight="1" x14ac:dyDescent="0.35">
      <c r="A99" s="31"/>
      <c r="B99" s="37">
        <v>99</v>
      </c>
      <c r="C99" s="40" t="s">
        <v>421</v>
      </c>
      <c r="D99" s="39"/>
      <c r="E99" s="45" t="s">
        <v>422</v>
      </c>
      <c r="F99" s="44">
        <f>+Exp!L168</f>
        <v>0</v>
      </c>
    </row>
    <row r="100" spans="1:6" ht="15.75" customHeight="1" x14ac:dyDescent="0.35">
      <c r="A100" s="31"/>
      <c r="B100" s="37">
        <v>100</v>
      </c>
      <c r="C100" s="40" t="s">
        <v>331</v>
      </c>
      <c r="D100" s="39"/>
      <c r="E100" s="45" t="s">
        <v>425</v>
      </c>
      <c r="F100" s="44">
        <f>+Exp!L44</f>
        <v>0</v>
      </c>
    </row>
    <row r="101" spans="1:6" ht="15.75" customHeight="1" x14ac:dyDescent="0.35">
      <c r="A101" s="31"/>
      <c r="B101" s="37">
        <v>101</v>
      </c>
      <c r="C101" s="40" t="s">
        <v>426</v>
      </c>
      <c r="D101" s="39"/>
      <c r="E101" s="45" t="s">
        <v>427</v>
      </c>
      <c r="F101" s="44">
        <f>+Exp!L150</f>
        <v>0</v>
      </c>
    </row>
    <row r="102" spans="1:6" ht="15.75" customHeight="1" x14ac:dyDescent="0.35">
      <c r="A102" s="31"/>
      <c r="B102" s="37">
        <v>102</v>
      </c>
      <c r="C102" s="40" t="s">
        <v>250</v>
      </c>
      <c r="D102" s="39"/>
      <c r="E102" s="45">
        <v>9030016406928</v>
      </c>
      <c r="F102" s="44">
        <f>+Exp!L33</f>
        <v>0</v>
      </c>
    </row>
    <row r="103" spans="1:6" ht="15.75" customHeight="1" x14ac:dyDescent="0.35">
      <c r="A103" s="31"/>
      <c r="B103" s="37">
        <v>103</v>
      </c>
      <c r="C103" s="40" t="s">
        <v>433</v>
      </c>
      <c r="D103" s="39"/>
      <c r="E103" s="45" t="s">
        <v>434</v>
      </c>
      <c r="F103" s="44">
        <f>+Exp!L180</f>
        <v>0</v>
      </c>
    </row>
    <row r="104" spans="1:6" ht="15.75" customHeight="1" x14ac:dyDescent="0.35">
      <c r="A104" s="31"/>
      <c r="B104" s="37">
        <v>104</v>
      </c>
      <c r="C104" s="40" t="s">
        <v>435</v>
      </c>
      <c r="D104" s="39"/>
      <c r="E104" s="45" t="s">
        <v>436</v>
      </c>
      <c r="F104" s="44">
        <f>+Exp!L194</f>
        <v>0</v>
      </c>
    </row>
    <row r="105" spans="1:6" ht="15.75" customHeight="1" x14ac:dyDescent="0.35">
      <c r="A105" s="31"/>
      <c r="B105" s="37">
        <v>105</v>
      </c>
      <c r="C105" s="40" t="s">
        <v>440</v>
      </c>
      <c r="D105" s="39"/>
      <c r="E105" s="45" t="s">
        <v>441</v>
      </c>
      <c r="F105" s="44">
        <f>+Exp!L163</f>
        <v>0</v>
      </c>
    </row>
    <row r="106" spans="1:6" ht="15.75" customHeight="1" x14ac:dyDescent="0.35">
      <c r="A106" s="31"/>
      <c r="B106" s="37">
        <v>106</v>
      </c>
      <c r="C106" s="40" t="s">
        <v>442</v>
      </c>
      <c r="D106" s="39"/>
      <c r="E106" s="45" t="s">
        <v>443</v>
      </c>
      <c r="F106" s="44">
        <f>+Exp!L147</f>
        <v>0</v>
      </c>
    </row>
    <row r="107" spans="1:6" ht="15.75" customHeight="1" x14ac:dyDescent="0.35">
      <c r="A107" s="31"/>
      <c r="B107" s="37">
        <v>107</v>
      </c>
      <c r="C107" s="40" t="s">
        <v>386</v>
      </c>
      <c r="D107" s="39"/>
      <c r="E107" s="45" t="s">
        <v>447</v>
      </c>
      <c r="F107" s="44">
        <f>+Exp!L17</f>
        <v>0</v>
      </c>
    </row>
    <row r="108" spans="1:6" ht="15.75" customHeight="1" x14ac:dyDescent="0.35">
      <c r="A108" s="31"/>
      <c r="B108" s="37">
        <v>108</v>
      </c>
      <c r="C108" s="40" t="s">
        <v>448</v>
      </c>
      <c r="D108" s="39"/>
      <c r="E108" s="45" t="s">
        <v>449</v>
      </c>
      <c r="F108" s="44">
        <f>+Exp!L102</f>
        <v>0</v>
      </c>
    </row>
    <row r="109" spans="1:6" ht="15.75" customHeight="1" x14ac:dyDescent="0.35">
      <c r="A109" s="31"/>
      <c r="B109" s="37">
        <v>109</v>
      </c>
      <c r="C109" s="40" t="s">
        <v>74</v>
      </c>
      <c r="D109" s="39"/>
      <c r="E109" s="45">
        <v>9030018850310</v>
      </c>
      <c r="F109" s="44">
        <f>+Exp!L10</f>
        <v>0</v>
      </c>
    </row>
    <row r="110" spans="1:6" ht="15.75" customHeight="1" x14ac:dyDescent="0.35">
      <c r="A110" s="31"/>
      <c r="B110" s="37">
        <v>110</v>
      </c>
      <c r="C110" s="40" t="s">
        <v>453</v>
      </c>
      <c r="D110" s="40"/>
      <c r="E110" s="40" t="s">
        <v>455</v>
      </c>
      <c r="F110" s="44">
        <f>+Exp!L170</f>
        <v>0</v>
      </c>
    </row>
    <row r="111" spans="1:6" ht="15.75" customHeight="1" x14ac:dyDescent="0.35">
      <c r="A111" s="31"/>
      <c r="B111" s="37">
        <v>111</v>
      </c>
      <c r="C111" s="40" t="s">
        <v>459</v>
      </c>
      <c r="D111" s="40"/>
      <c r="E111" s="45">
        <v>1002101027700</v>
      </c>
      <c r="F111" s="44">
        <f>+Exp!L116</f>
        <v>0</v>
      </c>
    </row>
    <row r="112" spans="1:6" ht="15.75" customHeight="1" x14ac:dyDescent="0.35">
      <c r="A112" s="31"/>
      <c r="B112" s="37">
        <v>112</v>
      </c>
      <c r="C112" s="39" t="s">
        <v>460</v>
      </c>
      <c r="D112" s="40"/>
      <c r="E112" s="115" t="s">
        <v>461</v>
      </c>
      <c r="F112" s="44">
        <f>+Exp!L71</f>
        <v>0</v>
      </c>
    </row>
    <row r="113" spans="1:6" ht="15.75" customHeight="1" x14ac:dyDescent="0.35">
      <c r="A113" s="31"/>
      <c r="B113" s="37">
        <v>113</v>
      </c>
      <c r="C113" s="40" t="s">
        <v>465</v>
      </c>
      <c r="D113" s="39"/>
      <c r="E113" s="45" t="s">
        <v>466</v>
      </c>
      <c r="F113" s="44">
        <f>+Exp!L63</f>
        <v>0</v>
      </c>
    </row>
    <row r="114" spans="1:6" ht="15.75" customHeight="1" x14ac:dyDescent="0.35">
      <c r="A114" s="31"/>
      <c r="B114" s="37">
        <v>114</v>
      </c>
      <c r="C114" s="82" t="s">
        <v>467</v>
      </c>
      <c r="D114" s="77"/>
      <c r="E114" s="77" t="s">
        <v>468</v>
      </c>
      <c r="F114" s="44">
        <f>+Exp!L123</f>
        <v>0</v>
      </c>
    </row>
    <row r="115" spans="1:6" ht="15.75" customHeight="1" x14ac:dyDescent="0.35">
      <c r="A115" s="31"/>
      <c r="B115" s="37">
        <v>115</v>
      </c>
      <c r="C115" s="40" t="s">
        <v>150</v>
      </c>
      <c r="D115" s="40"/>
      <c r="E115" s="45" t="s">
        <v>472</v>
      </c>
      <c r="F115" s="44">
        <f>+Exp!L20</f>
        <v>0</v>
      </c>
    </row>
    <row r="116" spans="1:6" ht="15.75" customHeight="1" x14ac:dyDescent="0.35">
      <c r="A116" s="31"/>
      <c r="B116" s="37">
        <v>116</v>
      </c>
      <c r="C116" s="40" t="s">
        <v>473</v>
      </c>
      <c r="D116" s="40"/>
      <c r="E116" s="40" t="s">
        <v>474</v>
      </c>
      <c r="F116" s="44">
        <f>+Exp!L58</f>
        <v>0</v>
      </c>
    </row>
    <row r="117" spans="1:6" ht="15.75" customHeight="1" x14ac:dyDescent="0.35">
      <c r="A117" s="31"/>
      <c r="B117" s="37">
        <v>117</v>
      </c>
      <c r="C117" s="40" t="s">
        <v>388</v>
      </c>
      <c r="D117" s="39"/>
      <c r="E117" s="40" t="s">
        <v>478</v>
      </c>
      <c r="F117" s="44">
        <f>+Exp!L49</f>
        <v>0</v>
      </c>
    </row>
    <row r="118" spans="1:6" ht="15.75" customHeight="1" x14ac:dyDescent="0.35">
      <c r="A118" s="31"/>
      <c r="B118" s="37">
        <v>118</v>
      </c>
      <c r="C118" s="40" t="s">
        <v>229</v>
      </c>
      <c r="D118" s="39"/>
      <c r="E118" s="40" t="s">
        <v>481</v>
      </c>
      <c r="F118" s="44">
        <f>+Exp!L29</f>
        <v>0</v>
      </c>
    </row>
    <row r="119" spans="1:6" ht="15.75" customHeight="1" x14ac:dyDescent="0.35">
      <c r="A119" s="31"/>
      <c r="B119" s="37">
        <v>119</v>
      </c>
      <c r="C119" s="40" t="s">
        <v>482</v>
      </c>
      <c r="D119" s="40"/>
      <c r="E119" s="45" t="s">
        <v>484</v>
      </c>
      <c r="F119" s="44">
        <f>+Exp!L101</f>
        <v>0</v>
      </c>
    </row>
    <row r="120" spans="1:6" ht="15.75" customHeight="1" x14ac:dyDescent="0.35">
      <c r="A120" s="31"/>
      <c r="B120" s="37">
        <v>120</v>
      </c>
      <c r="C120" s="40" t="s">
        <v>406</v>
      </c>
      <c r="D120" s="40"/>
      <c r="E120" s="45" t="s">
        <v>489</v>
      </c>
      <c r="F120" s="44">
        <f>+Exp!L50</f>
        <v>0</v>
      </c>
    </row>
    <row r="121" spans="1:6" ht="15.75" customHeight="1" x14ac:dyDescent="0.35">
      <c r="A121" s="31"/>
      <c r="B121" s="37">
        <v>121</v>
      </c>
      <c r="C121" s="40" t="s">
        <v>490</v>
      </c>
      <c r="D121" s="40"/>
      <c r="E121" s="45" t="s">
        <v>491</v>
      </c>
      <c r="F121" s="44">
        <f>+Exp!L183</f>
        <v>0</v>
      </c>
    </row>
    <row r="122" spans="1:6" ht="15.75" customHeight="1" x14ac:dyDescent="0.35">
      <c r="A122" s="31"/>
      <c r="B122" s="37">
        <v>122</v>
      </c>
      <c r="C122" s="40" t="s">
        <v>494</v>
      </c>
      <c r="D122" s="40"/>
      <c r="E122" s="45">
        <v>1004102602398</v>
      </c>
      <c r="F122" s="44">
        <f>+Exp!L14</f>
        <v>0</v>
      </c>
    </row>
    <row r="123" spans="1:6" ht="15.75" customHeight="1" x14ac:dyDescent="0.35">
      <c r="A123" s="31"/>
      <c r="B123" s="37">
        <v>123</v>
      </c>
      <c r="C123" s="40" t="s">
        <v>496</v>
      </c>
      <c r="D123" s="40"/>
      <c r="E123" s="45" t="s">
        <v>498</v>
      </c>
      <c r="F123" s="44">
        <f>+Exp!L37</f>
        <v>0</v>
      </c>
    </row>
    <row r="124" spans="1:6" ht="15.75" customHeight="1" x14ac:dyDescent="0.35">
      <c r="A124" s="31"/>
      <c r="B124" s="37">
        <v>124</v>
      </c>
      <c r="C124" s="40" t="s">
        <v>235</v>
      </c>
      <c r="D124" s="40"/>
      <c r="E124" s="45" t="s">
        <v>500</v>
      </c>
      <c r="F124" s="44">
        <f>+Exp!L30</f>
        <v>0</v>
      </c>
    </row>
    <row r="125" spans="1:6" ht="15.75" customHeight="1" x14ac:dyDescent="0.35">
      <c r="A125" s="31"/>
      <c r="B125" s="37">
        <v>125</v>
      </c>
      <c r="C125" s="40" t="s">
        <v>501</v>
      </c>
      <c r="D125" s="40"/>
      <c r="E125" s="45" t="s">
        <v>502</v>
      </c>
      <c r="F125" s="44">
        <f>+Exp!L129</f>
        <v>0</v>
      </c>
    </row>
    <row r="126" spans="1:6" ht="15.75" customHeight="1" x14ac:dyDescent="0.35">
      <c r="A126" s="31"/>
      <c r="B126" s="37">
        <v>126</v>
      </c>
      <c r="C126" s="40" t="s">
        <v>366</v>
      </c>
      <c r="D126" s="40"/>
      <c r="E126" s="45" t="s">
        <v>504</v>
      </c>
      <c r="F126" s="44">
        <f>+Exp!L48</f>
        <v>0</v>
      </c>
    </row>
    <row r="127" spans="1:6" ht="15.75" customHeight="1" x14ac:dyDescent="0.35">
      <c r="A127" s="31"/>
      <c r="B127" s="37">
        <v>127</v>
      </c>
      <c r="C127" s="40" t="s">
        <v>505</v>
      </c>
      <c r="D127" s="40"/>
      <c r="E127" s="45" t="s">
        <v>506</v>
      </c>
      <c r="F127" s="44">
        <f>+Exp!L92</f>
        <v>0</v>
      </c>
    </row>
    <row r="128" spans="1:6" ht="15.75" customHeight="1" x14ac:dyDescent="0.35">
      <c r="A128" s="31"/>
      <c r="B128" s="37">
        <v>128</v>
      </c>
      <c r="C128" s="40" t="s">
        <v>231</v>
      </c>
      <c r="D128" s="113"/>
      <c r="E128" s="114" t="s">
        <v>510</v>
      </c>
      <c r="F128" s="44">
        <f>+Exp!L27</f>
        <v>0</v>
      </c>
    </row>
    <row r="129" spans="1:6" ht="15.75" customHeight="1" x14ac:dyDescent="0.35">
      <c r="A129" s="31"/>
      <c r="B129" s="37">
        <v>129</v>
      </c>
      <c r="C129" s="40" t="s">
        <v>316</v>
      </c>
      <c r="D129" s="39"/>
      <c r="E129" s="39">
        <v>9520015700</v>
      </c>
      <c r="F129" s="44">
        <f>+Exp!L42</f>
        <v>0</v>
      </c>
    </row>
    <row r="130" spans="1:6" ht="15.75" customHeight="1" x14ac:dyDescent="0.35">
      <c r="A130" s="31"/>
      <c r="B130" s="37">
        <v>130</v>
      </c>
      <c r="C130" s="77" t="s">
        <v>480</v>
      </c>
      <c r="D130" s="82"/>
      <c r="E130" s="77" t="s">
        <v>516</v>
      </c>
      <c r="F130" s="44">
        <f>+Exp!L61</f>
        <v>0</v>
      </c>
    </row>
    <row r="131" spans="1:6" ht="15.75" customHeight="1" x14ac:dyDescent="0.35">
      <c r="A131" s="31"/>
      <c r="B131" s="37">
        <v>131</v>
      </c>
      <c r="C131" s="82" t="s">
        <v>517</v>
      </c>
      <c r="D131" s="77"/>
      <c r="E131" s="154" t="s">
        <v>519</v>
      </c>
      <c r="F131" s="44">
        <f>+Exp!L130</f>
        <v>0</v>
      </c>
    </row>
    <row r="132" spans="1:6" ht="15.75" customHeight="1" x14ac:dyDescent="0.35">
      <c r="A132" s="31"/>
      <c r="B132" s="37">
        <v>132</v>
      </c>
      <c r="C132" s="40" t="s">
        <v>522</v>
      </c>
      <c r="D132" s="77"/>
      <c r="E132" s="45" t="s">
        <v>524</v>
      </c>
      <c r="F132" s="44">
        <f>+Exp!L99</f>
        <v>0</v>
      </c>
    </row>
    <row r="133" spans="1:6" ht="15.75" customHeight="1" x14ac:dyDescent="0.35">
      <c r="A133" s="31"/>
      <c r="B133" s="37">
        <v>133</v>
      </c>
      <c r="C133" s="155" t="s">
        <v>451</v>
      </c>
      <c r="D133" s="82"/>
      <c r="E133" s="77" t="s">
        <v>527</v>
      </c>
      <c r="F133" s="44">
        <f>+Exp!L57</f>
        <v>0</v>
      </c>
    </row>
    <row r="134" spans="1:6" ht="15.75" customHeight="1" x14ac:dyDescent="0.35">
      <c r="A134" s="31"/>
      <c r="B134" s="37">
        <v>134</v>
      </c>
      <c r="C134" s="40" t="s">
        <v>528</v>
      </c>
      <c r="D134" s="39"/>
      <c r="E134" s="40" t="s">
        <v>529</v>
      </c>
      <c r="F134" s="44">
        <f>+Exp!L81</f>
        <v>0</v>
      </c>
    </row>
    <row r="135" spans="1:6" ht="15.75" customHeight="1" x14ac:dyDescent="0.35">
      <c r="A135" s="31"/>
      <c r="B135" s="37">
        <v>135</v>
      </c>
      <c r="C135" s="40" t="s">
        <v>531</v>
      </c>
      <c r="D135" s="40"/>
      <c r="E135" s="45">
        <v>3204006565</v>
      </c>
      <c r="F135" s="44">
        <f>+Exp!L169</f>
        <v>0</v>
      </c>
    </row>
    <row r="136" spans="1:6" ht="15.75" customHeight="1" x14ac:dyDescent="0.35">
      <c r="A136" s="31"/>
      <c r="B136" s="37">
        <v>136</v>
      </c>
      <c r="C136" s="40" t="s">
        <v>535</v>
      </c>
      <c r="D136" s="77"/>
      <c r="E136" s="45" t="s">
        <v>537</v>
      </c>
      <c r="F136" s="44">
        <f>+Exp!L79</f>
        <v>0</v>
      </c>
    </row>
    <row r="137" spans="1:6" ht="15.75" customHeight="1" x14ac:dyDescent="0.35">
      <c r="A137" s="31"/>
      <c r="B137" s="37">
        <v>137</v>
      </c>
      <c r="C137" s="40" t="s">
        <v>539</v>
      </c>
      <c r="D137" s="82"/>
      <c r="E137" s="45">
        <v>32045424040</v>
      </c>
      <c r="F137" s="44">
        <f>+Exp!L193</f>
        <v>0</v>
      </c>
    </row>
    <row r="138" spans="1:6" ht="15.75" customHeight="1" x14ac:dyDescent="0.35">
      <c r="A138" s="31"/>
      <c r="B138" s="37">
        <v>138</v>
      </c>
      <c r="C138" s="40" t="s">
        <v>544</v>
      </c>
      <c r="D138" s="82"/>
      <c r="E138" s="45" t="s">
        <v>545</v>
      </c>
      <c r="F138" s="44">
        <f>+Exp!L167</f>
        <v>0</v>
      </c>
    </row>
    <row r="139" spans="1:6" ht="15.75" customHeight="1" x14ac:dyDescent="0.35">
      <c r="A139" s="31"/>
      <c r="B139" s="37">
        <v>139</v>
      </c>
      <c r="C139" s="40" t="s">
        <v>432</v>
      </c>
      <c r="D139" s="156"/>
      <c r="E139" s="114" t="s">
        <v>547</v>
      </c>
      <c r="F139" s="44">
        <f>+Exp!L54</f>
        <v>0</v>
      </c>
    </row>
    <row r="140" spans="1:6" ht="15.75" customHeight="1" x14ac:dyDescent="0.35">
      <c r="A140" s="31"/>
      <c r="B140" s="37">
        <v>140</v>
      </c>
      <c r="C140" s="40" t="s">
        <v>439</v>
      </c>
      <c r="D140" s="156"/>
      <c r="E140" s="114" t="s">
        <v>551</v>
      </c>
      <c r="F140" s="44">
        <f>+Exp!L55</f>
        <v>0</v>
      </c>
    </row>
    <row r="141" spans="1:6" ht="15.75" customHeight="1" x14ac:dyDescent="0.35">
      <c r="A141" s="31"/>
      <c r="B141" s="37">
        <v>141</v>
      </c>
      <c r="C141" s="40" t="s">
        <v>554</v>
      </c>
      <c r="D141" s="82"/>
      <c r="E141" s="114" t="s">
        <v>555</v>
      </c>
      <c r="F141" s="44">
        <f>+Exp!L126</f>
        <v>0</v>
      </c>
    </row>
    <row r="142" spans="1:6" ht="15.75" customHeight="1" x14ac:dyDescent="0.35">
      <c r="A142" s="31"/>
      <c r="B142" s="37">
        <v>142</v>
      </c>
      <c r="C142" s="40" t="s">
        <v>558</v>
      </c>
      <c r="D142" s="156"/>
      <c r="E142" s="114" t="s">
        <v>560</v>
      </c>
      <c r="F142" s="44">
        <f>+Exp!L23</f>
        <v>0</v>
      </c>
    </row>
    <row r="143" spans="1:6" ht="15.75" customHeight="1" x14ac:dyDescent="0.35">
      <c r="A143" s="31"/>
      <c r="B143" s="37">
        <v>143</v>
      </c>
      <c r="C143" s="40" t="s">
        <v>562</v>
      </c>
      <c r="D143" s="40"/>
      <c r="E143" s="40" t="s">
        <v>564</v>
      </c>
      <c r="F143" s="44">
        <f>+Exp!L73</f>
        <v>0</v>
      </c>
    </row>
    <row r="144" spans="1:6" ht="15.75" customHeight="1" x14ac:dyDescent="0.35">
      <c r="A144" s="31"/>
      <c r="B144" s="37">
        <v>144</v>
      </c>
      <c r="C144" s="77" t="s">
        <v>568</v>
      </c>
      <c r="D144" s="40"/>
      <c r="E144" s="39">
        <v>7247506809</v>
      </c>
      <c r="F144" s="44">
        <f>+Exp!L91</f>
        <v>0</v>
      </c>
    </row>
    <row r="145" spans="1:6" ht="15.75" customHeight="1" x14ac:dyDescent="0.35">
      <c r="A145" s="31"/>
      <c r="B145" s="37">
        <v>145</v>
      </c>
      <c r="C145" s="40" t="s">
        <v>463</v>
      </c>
      <c r="D145" s="40"/>
      <c r="E145" s="39">
        <v>7247506975</v>
      </c>
      <c r="F145" s="44">
        <f>+Exp!L59</f>
        <v>0</v>
      </c>
    </row>
    <row r="146" spans="1:6" ht="15.75" customHeight="1" x14ac:dyDescent="0.35">
      <c r="A146" s="31"/>
      <c r="B146" s="37">
        <v>146</v>
      </c>
      <c r="C146" s="40" t="s">
        <v>569</v>
      </c>
      <c r="D146" s="40"/>
      <c r="E146" s="45">
        <v>7247507770</v>
      </c>
      <c r="F146" s="44">
        <f>+Exp!L52</f>
        <v>0</v>
      </c>
    </row>
    <row r="147" spans="1:6" ht="15.75" customHeight="1" x14ac:dyDescent="0.35">
      <c r="A147" s="31"/>
      <c r="B147" s="37">
        <v>147</v>
      </c>
      <c r="C147" s="40" t="s">
        <v>570</v>
      </c>
      <c r="D147" s="40"/>
      <c r="E147" s="45" t="s">
        <v>573</v>
      </c>
      <c r="F147" s="44">
        <f>+Exp!L103</f>
        <v>0</v>
      </c>
    </row>
    <row r="148" spans="1:6" ht="15.75" customHeight="1" x14ac:dyDescent="0.35">
      <c r="A148" s="31"/>
      <c r="B148" s="37">
        <v>148</v>
      </c>
      <c r="C148" s="40" t="s">
        <v>269</v>
      </c>
      <c r="D148" s="40"/>
      <c r="E148" s="45" t="s">
        <v>575</v>
      </c>
      <c r="F148" s="44">
        <f>+Exp!L36</f>
        <v>0</v>
      </c>
    </row>
    <row r="149" spans="1:6" ht="15.75" customHeight="1" x14ac:dyDescent="0.35">
      <c r="A149" s="31"/>
      <c r="B149" s="37">
        <v>149</v>
      </c>
      <c r="C149" s="40" t="s">
        <v>579</v>
      </c>
      <c r="D149" s="40"/>
      <c r="E149" s="39" t="s">
        <v>580</v>
      </c>
      <c r="F149" s="44">
        <f>+Exp!L60</f>
        <v>0</v>
      </c>
    </row>
    <row r="150" spans="1:6" ht="15.75" customHeight="1" x14ac:dyDescent="0.35">
      <c r="A150" s="31"/>
      <c r="B150" s="37">
        <v>150</v>
      </c>
      <c r="C150" s="40" t="s">
        <v>581</v>
      </c>
      <c r="D150" s="40"/>
      <c r="E150" s="39" t="s">
        <v>584</v>
      </c>
      <c r="F150" s="44">
        <f>+Exp!L35</f>
        <v>0</v>
      </c>
    </row>
    <row r="151" spans="1:6" ht="15.75" customHeight="1" x14ac:dyDescent="0.35">
      <c r="A151" s="31"/>
      <c r="B151" s="37">
        <v>151</v>
      </c>
      <c r="C151" s="40" t="s">
        <v>588</v>
      </c>
      <c r="D151" s="40"/>
      <c r="E151" s="39" t="s">
        <v>589</v>
      </c>
      <c r="F151" s="44">
        <f>+Exp!L131</f>
        <v>0</v>
      </c>
    </row>
    <row r="152" spans="1:6" ht="15.75" customHeight="1" x14ac:dyDescent="0.35">
      <c r="A152" s="31"/>
      <c r="B152" s="37">
        <v>152</v>
      </c>
      <c r="C152" s="39" t="s">
        <v>550</v>
      </c>
      <c r="D152" s="39"/>
      <c r="E152" s="162" t="s">
        <v>594</v>
      </c>
      <c r="F152" s="44">
        <f>+Exp!L69</f>
        <v>0</v>
      </c>
    </row>
    <row r="153" spans="1:6" ht="15.75" customHeight="1" x14ac:dyDescent="0.35">
      <c r="A153" s="31"/>
      <c r="B153" s="37">
        <v>153</v>
      </c>
      <c r="C153" s="40" t="s">
        <v>286</v>
      </c>
      <c r="D153" s="39"/>
      <c r="E153" s="40" t="s">
        <v>597</v>
      </c>
      <c r="F153" s="44">
        <f>+Exp!L38</f>
        <v>0</v>
      </c>
    </row>
    <row r="154" spans="1:6" ht="15.75" customHeight="1" x14ac:dyDescent="0.35">
      <c r="A154" s="31"/>
      <c r="B154" s="37">
        <v>154</v>
      </c>
      <c r="C154" s="40" t="s">
        <v>601</v>
      </c>
      <c r="D154" s="39"/>
      <c r="E154" s="40" t="s">
        <v>603</v>
      </c>
      <c r="F154" s="44">
        <f>+Exp!L135</f>
        <v>0</v>
      </c>
    </row>
    <row r="155" spans="1:6" ht="15.75" customHeight="1" x14ac:dyDescent="0.35">
      <c r="A155" s="31"/>
      <c r="B155" s="37">
        <v>155</v>
      </c>
      <c r="C155" s="134" t="s">
        <v>486</v>
      </c>
      <c r="D155" s="82"/>
      <c r="E155" s="77" t="s">
        <v>605</v>
      </c>
      <c r="F155" s="44">
        <f>+Exp!L62</f>
        <v>0</v>
      </c>
    </row>
    <row r="156" spans="1:6" ht="15.75" customHeight="1" x14ac:dyDescent="0.35">
      <c r="A156" s="31"/>
      <c r="B156" s="37">
        <v>156</v>
      </c>
      <c r="C156" s="40" t="s">
        <v>607</v>
      </c>
      <c r="D156" s="39"/>
      <c r="E156" s="45" t="s">
        <v>608</v>
      </c>
      <c r="F156" s="44">
        <f>+Exp!L89</f>
        <v>0</v>
      </c>
    </row>
    <row r="157" spans="1:6" ht="15.75" customHeight="1" x14ac:dyDescent="0.35">
      <c r="A157" s="31"/>
      <c r="B157" s="37">
        <v>157</v>
      </c>
      <c r="C157" s="40" t="s">
        <v>610</v>
      </c>
      <c r="D157" s="39"/>
      <c r="E157" s="45" t="s">
        <v>611</v>
      </c>
      <c r="F157" s="44">
        <f>+Exp!L80</f>
        <v>0</v>
      </c>
    </row>
    <row r="158" spans="1:6" ht="15.75" customHeight="1" x14ac:dyDescent="0.35">
      <c r="A158" s="163"/>
      <c r="B158" s="37">
        <v>158</v>
      </c>
      <c r="C158" s="165" t="s">
        <v>613</v>
      </c>
      <c r="D158" s="39"/>
      <c r="E158" s="45">
        <v>1040047001875</v>
      </c>
      <c r="F158" s="166">
        <f>+Exp!L11</f>
        <v>0</v>
      </c>
    </row>
    <row r="159" spans="1:6" ht="15.75" customHeight="1" x14ac:dyDescent="0.35">
      <c r="A159" s="163"/>
      <c r="B159" s="37">
        <v>159</v>
      </c>
      <c r="C159" s="167" t="s">
        <v>617</v>
      </c>
      <c r="D159" s="168"/>
      <c r="E159" s="169" t="s">
        <v>618</v>
      </c>
      <c r="F159" s="166">
        <f>+Exp!L140</f>
        <v>0</v>
      </c>
    </row>
    <row r="160" spans="1:6" ht="15.75" customHeight="1" x14ac:dyDescent="0.35">
      <c r="A160" s="170"/>
      <c r="B160" s="170"/>
      <c r="C160" s="171" t="s">
        <v>620</v>
      </c>
      <c r="D160" s="170"/>
      <c r="E160" s="170"/>
      <c r="F160" s="172">
        <f>SUM(F3:F159)</f>
        <v>0</v>
      </c>
    </row>
    <row r="161" spans="1:6" ht="15.75" customHeight="1" x14ac:dyDescent="0.35">
      <c r="F161" s="8"/>
    </row>
    <row r="162" spans="1:6" ht="15.75" customHeight="1" x14ac:dyDescent="0.35">
      <c r="A162" s="31"/>
      <c r="B162" s="16" t="s">
        <v>622</v>
      </c>
      <c r="C162" s="31"/>
      <c r="D162" s="31"/>
      <c r="E162" s="31"/>
      <c r="F162" s="44"/>
    </row>
    <row r="163" spans="1:6" ht="15.75" customHeight="1" x14ac:dyDescent="0.35">
      <c r="A163" s="31"/>
      <c r="B163" s="31"/>
      <c r="C163" s="21"/>
      <c r="D163" s="40"/>
      <c r="E163" s="173"/>
      <c r="F163" s="44"/>
    </row>
    <row r="164" spans="1:6" ht="15.75" customHeight="1" x14ac:dyDescent="0.35">
      <c r="A164" s="31"/>
      <c r="B164" s="37">
        <v>1</v>
      </c>
      <c r="C164" s="40" t="s">
        <v>624</v>
      </c>
      <c r="D164" s="113"/>
      <c r="E164" s="175" t="s">
        <v>625</v>
      </c>
      <c r="F164" s="44">
        <f>+Exp!L120</f>
        <v>0</v>
      </c>
    </row>
    <row r="165" spans="1:6" ht="15.75" customHeight="1" x14ac:dyDescent="0.35">
      <c r="A165" s="31"/>
      <c r="B165" s="37">
        <v>2</v>
      </c>
      <c r="C165" s="40" t="s">
        <v>627</v>
      </c>
      <c r="D165" s="176"/>
      <c r="E165" s="45" t="s">
        <v>628</v>
      </c>
      <c r="F165" s="44">
        <f>+Exp!L64</f>
        <v>0</v>
      </c>
    </row>
    <row r="166" spans="1:6" ht="15.75" customHeight="1" x14ac:dyDescent="0.35">
      <c r="A166" s="31"/>
      <c r="B166" s="37">
        <v>3</v>
      </c>
      <c r="C166" s="40" t="s">
        <v>630</v>
      </c>
      <c r="D166" s="40"/>
      <c r="E166" s="45" t="s">
        <v>631</v>
      </c>
      <c r="F166" s="44">
        <f>+Exp!L132</f>
        <v>0</v>
      </c>
    </row>
    <row r="167" spans="1:6" ht="15.75" customHeight="1" x14ac:dyDescent="0.35">
      <c r="A167" s="31"/>
      <c r="B167" s="37">
        <v>4</v>
      </c>
      <c r="C167" s="40" t="s">
        <v>636</v>
      </c>
      <c r="D167" s="40"/>
      <c r="E167" s="45" t="s">
        <v>637</v>
      </c>
      <c r="F167" s="44">
        <f>+Exp!L83</f>
        <v>0</v>
      </c>
    </row>
    <row r="168" spans="1:6" ht="15.75" customHeight="1" x14ac:dyDescent="0.35">
      <c r="A168" s="31"/>
      <c r="B168" s="37">
        <v>5</v>
      </c>
      <c r="C168" s="40" t="s">
        <v>356</v>
      </c>
      <c r="D168" s="40"/>
      <c r="E168" s="45" t="s">
        <v>642</v>
      </c>
      <c r="F168" s="44">
        <f>+Exp!L47</f>
        <v>0</v>
      </c>
    </row>
    <row r="169" spans="1:6" ht="15.75" customHeight="1" x14ac:dyDescent="0.35">
      <c r="A169" s="31"/>
      <c r="B169" s="37">
        <v>6</v>
      </c>
      <c r="C169" s="40" t="s">
        <v>643</v>
      </c>
      <c r="D169" s="40"/>
      <c r="E169" s="45" t="s">
        <v>645</v>
      </c>
      <c r="F169" s="44">
        <f>+Exp!L172</f>
        <v>0</v>
      </c>
    </row>
    <row r="170" spans="1:6" ht="15.75" customHeight="1" x14ac:dyDescent="0.35">
      <c r="A170" s="31"/>
      <c r="B170" s="37">
        <v>7</v>
      </c>
      <c r="C170" s="40" t="s">
        <v>650</v>
      </c>
      <c r="D170" s="40"/>
      <c r="E170" s="45">
        <v>1044100741883</v>
      </c>
      <c r="F170" s="44">
        <f>+Exp!L26</f>
        <v>0</v>
      </c>
    </row>
    <row r="171" spans="1:6" ht="15.75" customHeight="1" x14ac:dyDescent="0.35">
      <c r="A171" s="31"/>
      <c r="B171" s="37">
        <v>8</v>
      </c>
      <c r="C171" s="40" t="s">
        <v>238</v>
      </c>
      <c r="D171" s="40"/>
      <c r="E171" s="45" t="s">
        <v>655</v>
      </c>
      <c r="F171" s="44">
        <f>+Exp!L31</f>
        <v>0</v>
      </c>
    </row>
    <row r="172" spans="1:6" ht="15.75" customHeight="1" x14ac:dyDescent="0.35">
      <c r="A172" s="31"/>
      <c r="B172" s="37">
        <v>9</v>
      </c>
      <c r="C172" s="40" t="s">
        <v>656</v>
      </c>
      <c r="D172" s="40"/>
      <c r="E172" s="45">
        <v>7255003773</v>
      </c>
      <c r="F172" s="44">
        <f>+Exp!L28</f>
        <v>0</v>
      </c>
    </row>
    <row r="173" spans="1:6" ht="15.75" customHeight="1" x14ac:dyDescent="0.35">
      <c r="A173" s="31"/>
      <c r="B173" s="37">
        <v>10</v>
      </c>
      <c r="C173" s="40" t="s">
        <v>657</v>
      </c>
      <c r="D173" s="40"/>
      <c r="E173" s="45" t="s">
        <v>658</v>
      </c>
      <c r="F173" s="44">
        <f>+Exp!L22</f>
        <v>0</v>
      </c>
    </row>
    <row r="174" spans="1:6" ht="15.75" customHeight="1" x14ac:dyDescent="0.35">
      <c r="A174" s="31"/>
      <c r="B174" s="37">
        <v>11</v>
      </c>
      <c r="C174" s="40" t="s">
        <v>303</v>
      </c>
      <c r="D174" s="40"/>
      <c r="E174" s="45" t="s">
        <v>661</v>
      </c>
      <c r="F174" s="44">
        <f>+Exp!L40</f>
        <v>0</v>
      </c>
    </row>
    <row r="175" spans="1:6" ht="15.75" customHeight="1" x14ac:dyDescent="0.35">
      <c r="A175" s="31"/>
      <c r="B175" s="37">
        <v>12</v>
      </c>
      <c r="C175" s="40" t="s">
        <v>662</v>
      </c>
      <c r="D175" s="40"/>
      <c r="E175" s="114" t="s">
        <v>663</v>
      </c>
      <c r="F175" s="44">
        <f>+Exp!L160</f>
        <v>0</v>
      </c>
    </row>
    <row r="176" spans="1:6" ht="15.75" customHeight="1" x14ac:dyDescent="0.35">
      <c r="A176" s="178"/>
      <c r="B176" s="179"/>
      <c r="C176" s="171" t="s">
        <v>620</v>
      </c>
      <c r="D176" s="171"/>
      <c r="E176" s="180"/>
      <c r="F176" s="181">
        <f>SUM(F164:F175)</f>
        <v>0</v>
      </c>
    </row>
    <row r="177" spans="1:6" ht="15.75" customHeight="1" x14ac:dyDescent="0.35">
      <c r="F177" s="8"/>
    </row>
    <row r="178" spans="1:6" ht="15.75" customHeight="1" x14ac:dyDescent="0.35">
      <c r="A178" s="31"/>
      <c r="B178" s="16" t="s">
        <v>667</v>
      </c>
      <c r="C178" s="21"/>
      <c r="D178" s="40"/>
      <c r="E178" s="173"/>
      <c r="F178" s="182"/>
    </row>
    <row r="179" spans="1:6" ht="15.75" customHeight="1" x14ac:dyDescent="0.35">
      <c r="A179" s="31"/>
      <c r="B179" s="37">
        <v>1</v>
      </c>
      <c r="C179" s="40" t="s">
        <v>668</v>
      </c>
      <c r="D179" s="40"/>
      <c r="E179" s="45">
        <v>9030008988969</v>
      </c>
      <c r="F179" s="162">
        <f>+Exp!L109</f>
        <v>0</v>
      </c>
    </row>
    <row r="180" spans="1:6" ht="15.75" customHeight="1" x14ac:dyDescent="0.35">
      <c r="A180" s="31"/>
      <c r="B180" s="37">
        <v>2</v>
      </c>
      <c r="C180" s="40" t="s">
        <v>256</v>
      </c>
      <c r="D180" s="40"/>
      <c r="E180" s="45" t="s">
        <v>674</v>
      </c>
      <c r="F180" s="162">
        <f>+Exp!L34</f>
        <v>0</v>
      </c>
    </row>
    <row r="181" spans="1:6" ht="15.75" customHeight="1" x14ac:dyDescent="0.35">
      <c r="A181" s="31"/>
      <c r="B181" s="37">
        <v>3</v>
      </c>
      <c r="C181" s="40" t="s">
        <v>676</v>
      </c>
      <c r="D181" s="40"/>
      <c r="E181" s="45" t="s">
        <v>677</v>
      </c>
      <c r="F181" s="183">
        <f>+Exp!L138</f>
        <v>0</v>
      </c>
    </row>
    <row r="182" spans="1:6" ht="15.75" customHeight="1" x14ac:dyDescent="0.35">
      <c r="A182" s="31"/>
      <c r="B182" s="37">
        <v>4</v>
      </c>
      <c r="C182" s="40" t="s">
        <v>680</v>
      </c>
      <c r="D182" s="40"/>
      <c r="E182" s="45">
        <v>1063012255613</v>
      </c>
      <c r="F182" s="162">
        <f>+Exp!L39</f>
        <v>0</v>
      </c>
    </row>
    <row r="183" spans="1:6" ht="15.75" customHeight="1" x14ac:dyDescent="0.35">
      <c r="A183" s="31"/>
      <c r="B183" s="37">
        <v>5</v>
      </c>
      <c r="C183" s="40" t="s">
        <v>682</v>
      </c>
      <c r="D183" s="40"/>
      <c r="E183" s="45" t="s">
        <v>683</v>
      </c>
      <c r="F183" s="162">
        <f>+Exp!L154</f>
        <v>0</v>
      </c>
    </row>
    <row r="184" spans="1:6" ht="15.75" customHeight="1" x14ac:dyDescent="0.35">
      <c r="A184" s="31"/>
      <c r="B184" s="37">
        <v>6</v>
      </c>
      <c r="C184" s="40" t="s">
        <v>684</v>
      </c>
      <c r="D184" s="40"/>
      <c r="E184" s="45" t="s">
        <v>686</v>
      </c>
      <c r="F184" s="162">
        <f>+Exp!L86</f>
        <v>0</v>
      </c>
    </row>
    <row r="185" spans="1:6" ht="15.75" customHeight="1" x14ac:dyDescent="0.35">
      <c r="A185" s="31"/>
      <c r="B185" s="37">
        <v>7</v>
      </c>
      <c r="C185" s="40" t="s">
        <v>688</v>
      </c>
      <c r="D185" s="40"/>
      <c r="E185" s="45" t="s">
        <v>689</v>
      </c>
      <c r="F185" s="162">
        <f>+Exp!L114</f>
        <v>0</v>
      </c>
    </row>
    <row r="186" spans="1:6" ht="15.75" customHeight="1" x14ac:dyDescent="0.35">
      <c r="A186" s="178"/>
      <c r="B186" s="179"/>
      <c r="C186" s="171" t="s">
        <v>620</v>
      </c>
      <c r="D186" s="171"/>
      <c r="E186" s="180"/>
      <c r="F186" s="184">
        <f>SUM(F179:F185)</f>
        <v>0</v>
      </c>
    </row>
    <row r="187" spans="1:6" ht="15.75" customHeight="1" x14ac:dyDescent="0.35">
      <c r="F187" s="8"/>
    </row>
    <row r="188" spans="1:6" ht="15.75" customHeight="1" x14ac:dyDescent="0.35">
      <c r="A188" s="31"/>
      <c r="B188" s="185" t="s">
        <v>696</v>
      </c>
      <c r="C188" s="40"/>
      <c r="D188" s="40"/>
      <c r="E188" s="40"/>
      <c r="F188" s="40"/>
    </row>
    <row r="189" spans="1:6" ht="15.75" customHeight="1" x14ac:dyDescent="0.35">
      <c r="A189" s="31"/>
      <c r="B189" s="186">
        <v>1</v>
      </c>
      <c r="C189" s="187" t="s">
        <v>699</v>
      </c>
      <c r="D189" s="39"/>
      <c r="E189" s="188" t="s">
        <v>701</v>
      </c>
      <c r="F189" s="189">
        <f>+Exp!L162</f>
        <v>0</v>
      </c>
    </row>
    <row r="190" spans="1:6" ht="15.75" customHeight="1" x14ac:dyDescent="0.35">
      <c r="A190" s="31"/>
      <c r="B190" s="186">
        <v>2</v>
      </c>
      <c r="C190" s="190" t="s">
        <v>703</v>
      </c>
      <c r="D190" s="77"/>
      <c r="E190" s="188" t="s">
        <v>706</v>
      </c>
      <c r="F190" s="191">
        <f>+Exp!L145</f>
        <v>0</v>
      </c>
    </row>
    <row r="191" spans="1:6" ht="15.75" customHeight="1" x14ac:dyDescent="0.35">
      <c r="A191" s="31"/>
      <c r="B191" s="186">
        <v>3</v>
      </c>
      <c r="C191" s="77" t="s">
        <v>709</v>
      </c>
      <c r="D191" s="77"/>
      <c r="E191" s="188" t="s">
        <v>711</v>
      </c>
      <c r="F191" s="192">
        <f>+Exp!L127</f>
        <v>0</v>
      </c>
    </row>
    <row r="192" spans="1:6" ht="15.75" customHeight="1" x14ac:dyDescent="0.35">
      <c r="A192" s="31"/>
      <c r="B192" s="186">
        <v>4</v>
      </c>
      <c r="C192" s="40" t="s">
        <v>715</v>
      </c>
      <c r="D192" s="193"/>
      <c r="E192" s="194" t="s">
        <v>718</v>
      </c>
      <c r="F192" s="162">
        <f>+Exp!L164</f>
        <v>0</v>
      </c>
    </row>
    <row r="193" spans="1:6" ht="15.75" customHeight="1" x14ac:dyDescent="0.35">
      <c r="A193" s="31"/>
      <c r="B193" s="186">
        <v>5</v>
      </c>
      <c r="C193" s="39" t="s">
        <v>719</v>
      </c>
      <c r="D193" s="195"/>
      <c r="E193" s="113" t="s">
        <v>722</v>
      </c>
      <c r="F193" s="196">
        <f>+Exp!L119</f>
        <v>0</v>
      </c>
    </row>
    <row r="194" spans="1:6" ht="15.75" customHeight="1" x14ac:dyDescent="0.35">
      <c r="A194" s="31"/>
      <c r="B194" s="186">
        <v>6</v>
      </c>
      <c r="C194" s="39" t="s">
        <v>723</v>
      </c>
      <c r="D194" s="40"/>
      <c r="E194" s="45" t="s">
        <v>724</v>
      </c>
      <c r="F194" s="197">
        <f>+Exp!L173</f>
        <v>0</v>
      </c>
    </row>
    <row r="195" spans="1:6" ht="15.75" customHeight="1" x14ac:dyDescent="0.35">
      <c r="A195" s="31"/>
      <c r="B195" s="186">
        <v>7</v>
      </c>
      <c r="C195" s="40" t="s">
        <v>726</v>
      </c>
      <c r="D195" s="193"/>
      <c r="E195" s="45" t="s">
        <v>727</v>
      </c>
      <c r="F195" s="198">
        <f>+Exp!L134</f>
        <v>0</v>
      </c>
    </row>
    <row r="196" spans="1:6" ht="15.75" customHeight="1" x14ac:dyDescent="0.35">
      <c r="A196" s="31"/>
      <c r="B196" s="186">
        <v>8</v>
      </c>
      <c r="C196" s="199" t="s">
        <v>730</v>
      </c>
      <c r="D196" s="40"/>
      <c r="E196" s="200" t="s">
        <v>731</v>
      </c>
      <c r="F196" s="201">
        <f>+Exp!L46</f>
        <v>0</v>
      </c>
    </row>
    <row r="197" spans="1:6" ht="15.75" customHeight="1" x14ac:dyDescent="0.35">
      <c r="A197" s="31"/>
      <c r="B197" s="186">
        <v>9</v>
      </c>
      <c r="C197" s="193" t="s">
        <v>734</v>
      </c>
      <c r="D197" s="82"/>
      <c r="E197" s="82" t="s">
        <v>735</v>
      </c>
      <c r="F197" s="111">
        <f>+Exp!L190</f>
        <v>0</v>
      </c>
    </row>
    <row r="198" spans="1:6" ht="15.75" customHeight="1" x14ac:dyDescent="0.35">
      <c r="A198" s="31"/>
      <c r="B198" s="186">
        <v>10</v>
      </c>
      <c r="C198" s="77" t="s">
        <v>737</v>
      </c>
      <c r="D198" s="82"/>
      <c r="E198" s="77" t="s">
        <v>738</v>
      </c>
      <c r="F198" s="202">
        <f>+Exp!L143</f>
        <v>0</v>
      </c>
    </row>
    <row r="199" spans="1:6" ht="15.75" customHeight="1" x14ac:dyDescent="0.35">
      <c r="A199" s="31"/>
      <c r="B199" s="186">
        <v>11</v>
      </c>
      <c r="C199" s="199" t="s">
        <v>508</v>
      </c>
      <c r="D199" s="199"/>
      <c r="E199" s="203" t="s">
        <v>744</v>
      </c>
      <c r="F199" s="205">
        <f>+Exp!L65</f>
        <v>0</v>
      </c>
    </row>
    <row r="200" spans="1:6" ht="15.75" customHeight="1" x14ac:dyDescent="0.35">
      <c r="A200" s="31"/>
      <c r="B200" s="186">
        <v>129</v>
      </c>
      <c r="C200" s="40" t="s">
        <v>748</v>
      </c>
      <c r="D200" s="40"/>
      <c r="E200" s="206" t="s">
        <v>749</v>
      </c>
      <c r="F200" s="44">
        <f>+Exp!L175</f>
        <v>0</v>
      </c>
    </row>
    <row r="201" spans="1:6" ht="15.75" customHeight="1" x14ac:dyDescent="0.35">
      <c r="A201" s="13"/>
      <c r="B201" s="13"/>
      <c r="C201" s="13" t="s">
        <v>620</v>
      </c>
      <c r="D201" s="13"/>
      <c r="E201" s="13"/>
      <c r="F201" s="22">
        <f>SUM(F189:F200)</f>
        <v>0</v>
      </c>
    </row>
    <row r="202" spans="1:6" ht="15.75" customHeight="1" x14ac:dyDescent="0.35">
      <c r="A202" s="178"/>
      <c r="B202" s="178"/>
      <c r="C202" s="178" t="s">
        <v>752</v>
      </c>
      <c r="D202" s="178"/>
      <c r="E202" s="178"/>
      <c r="F202" s="181">
        <f>F201+F186+F176+F160</f>
        <v>0</v>
      </c>
    </row>
    <row r="203" spans="1:6" ht="15.75" customHeight="1" x14ac:dyDescent="0.35">
      <c r="F203" s="8"/>
    </row>
    <row r="204" spans="1:6" ht="15.75" customHeight="1" x14ac:dyDescent="0.35">
      <c r="B204" s="207" t="s">
        <v>755</v>
      </c>
      <c r="F204" s="8"/>
    </row>
    <row r="205" spans="1:6" ht="15.75" customHeight="1" x14ac:dyDescent="0.35">
      <c r="A205" s="208"/>
      <c r="B205" s="21"/>
      <c r="C205" s="40"/>
      <c r="D205" s="40"/>
      <c r="E205" s="40"/>
      <c r="F205" s="196"/>
    </row>
    <row r="206" spans="1:6" ht="15.75" customHeight="1" x14ac:dyDescent="0.35">
      <c r="A206" s="208"/>
      <c r="B206" s="16" t="s">
        <v>758</v>
      </c>
      <c r="C206" s="18" t="s">
        <v>3</v>
      </c>
      <c r="D206" s="16"/>
      <c r="E206" s="16" t="s">
        <v>762</v>
      </c>
      <c r="F206" s="210" t="s">
        <v>6</v>
      </c>
    </row>
    <row r="207" spans="1:6" ht="15.75" customHeight="1" x14ac:dyDescent="0.35">
      <c r="A207" s="208"/>
      <c r="B207" s="16" t="s">
        <v>667</v>
      </c>
      <c r="C207" s="176"/>
      <c r="D207" s="39"/>
      <c r="E207" s="212"/>
      <c r="F207" s="104"/>
    </row>
    <row r="208" spans="1:6" ht="15.75" customHeight="1" x14ac:dyDescent="0.35">
      <c r="A208" s="208"/>
      <c r="B208" s="37"/>
      <c r="C208" s="176" t="s">
        <v>764</v>
      </c>
      <c r="D208" s="124"/>
      <c r="E208" s="213" t="s">
        <v>765</v>
      </c>
      <c r="F208" s="104">
        <f>+Exp!L207</f>
        <v>0</v>
      </c>
    </row>
    <row r="209" spans="1:6" ht="15.75" customHeight="1" x14ac:dyDescent="0.35">
      <c r="A209" s="208"/>
      <c r="B209" s="37"/>
      <c r="C209" s="176"/>
      <c r="D209" s="39"/>
      <c r="E209" s="212"/>
      <c r="F209" s="214">
        <f>+F208</f>
        <v>0</v>
      </c>
    </row>
    <row r="210" spans="1:6" ht="15.75" customHeight="1" x14ac:dyDescent="0.35">
      <c r="A210" s="208"/>
      <c r="B210" s="16" t="s">
        <v>768</v>
      </c>
      <c r="C210" s="176" t="s">
        <v>769</v>
      </c>
      <c r="D210" s="124"/>
      <c r="E210" s="212">
        <v>7170009822</v>
      </c>
      <c r="F210" s="104">
        <f>+Exp!L209</f>
        <v>0</v>
      </c>
    </row>
    <row r="211" spans="1:6" ht="15.75" customHeight="1" x14ac:dyDescent="0.35">
      <c r="A211" s="208"/>
      <c r="B211" s="16"/>
      <c r="C211" s="176" t="s">
        <v>771</v>
      </c>
      <c r="D211" s="124"/>
      <c r="E211" s="213" t="s">
        <v>772</v>
      </c>
      <c r="F211" s="104">
        <f>+Exp!L226</f>
        <v>0</v>
      </c>
    </row>
    <row r="212" spans="1:6" ht="15.75" customHeight="1" x14ac:dyDescent="0.35">
      <c r="A212" s="208"/>
      <c r="B212" s="37"/>
      <c r="C212" s="176"/>
      <c r="D212" s="39"/>
      <c r="E212" s="212"/>
      <c r="F212" s="214">
        <f>SUM(F210:F211)</f>
        <v>0</v>
      </c>
    </row>
    <row r="213" spans="1:6" ht="15.75" customHeight="1" x14ac:dyDescent="0.35">
      <c r="A213" s="208"/>
      <c r="B213" s="16" t="s">
        <v>777</v>
      </c>
      <c r="C213" s="176"/>
      <c r="D213" s="215"/>
      <c r="E213" s="212"/>
      <c r="F213" s="216"/>
    </row>
    <row r="214" spans="1:6" ht="15.75" customHeight="1" x14ac:dyDescent="0.35">
      <c r="A214" s="208"/>
      <c r="B214" s="37">
        <v>1</v>
      </c>
      <c r="C214" s="40" t="s">
        <v>778</v>
      </c>
      <c r="D214" s="39"/>
      <c r="E214" s="45">
        <v>7247507631</v>
      </c>
      <c r="F214" s="162">
        <f>+Exp!L208</f>
        <v>0</v>
      </c>
    </row>
    <row r="215" spans="1:6" ht="15.75" customHeight="1" x14ac:dyDescent="0.35">
      <c r="A215" s="208"/>
      <c r="B215" s="37">
        <v>2</v>
      </c>
      <c r="C215" s="40" t="s">
        <v>781</v>
      </c>
      <c r="D215" s="124"/>
      <c r="E215" s="114" t="s">
        <v>782</v>
      </c>
      <c r="F215" s="162">
        <f>+Exp!L225</f>
        <v>0</v>
      </c>
    </row>
    <row r="216" spans="1:6" ht="15.75" customHeight="1" x14ac:dyDescent="0.35">
      <c r="A216" s="208"/>
      <c r="B216" s="37">
        <v>3</v>
      </c>
      <c r="C216" s="176" t="s">
        <v>783</v>
      </c>
      <c r="D216" s="39"/>
      <c r="E216" s="39">
        <v>7247507632</v>
      </c>
      <c r="F216" s="104">
        <f>+Exp!L221</f>
        <v>0</v>
      </c>
    </row>
    <row r="217" spans="1:6" ht="15.75" customHeight="1" x14ac:dyDescent="0.35">
      <c r="A217" s="208"/>
      <c r="B217" s="37"/>
      <c r="C217" s="40"/>
      <c r="D217" s="39"/>
      <c r="E217" s="39"/>
      <c r="F217" s="214">
        <f>SUM(F214:F216)</f>
        <v>0</v>
      </c>
    </row>
    <row r="218" spans="1:6" ht="15.75" customHeight="1" x14ac:dyDescent="0.35">
      <c r="A218" s="208"/>
      <c r="B218" s="16" t="s">
        <v>785</v>
      </c>
      <c r="C218" s="40"/>
      <c r="D218" s="39"/>
      <c r="E218" s="39"/>
      <c r="F218" s="196"/>
    </row>
    <row r="219" spans="1:6" ht="15.75" customHeight="1" x14ac:dyDescent="0.35">
      <c r="A219" s="208"/>
      <c r="B219" s="37">
        <v>1</v>
      </c>
      <c r="C219" s="40" t="s">
        <v>786</v>
      </c>
      <c r="D219" s="113"/>
      <c r="E219" s="114" t="s">
        <v>787</v>
      </c>
      <c r="F219" s="196">
        <f>+Exp!L210</f>
        <v>0</v>
      </c>
    </row>
    <row r="220" spans="1:6" ht="15.75" customHeight="1" x14ac:dyDescent="0.35">
      <c r="A220" s="208"/>
      <c r="B220" s="37">
        <v>2</v>
      </c>
      <c r="C220" s="176" t="s">
        <v>793</v>
      </c>
      <c r="D220" s="217"/>
      <c r="E220" s="103">
        <v>6006242950</v>
      </c>
      <c r="F220" s="104">
        <f>+Exp!L223</f>
        <v>0</v>
      </c>
    </row>
    <row r="221" spans="1:6" ht="15.75" customHeight="1" x14ac:dyDescent="0.35">
      <c r="A221" s="208"/>
      <c r="B221" s="37">
        <v>3</v>
      </c>
      <c r="C221" s="40" t="s">
        <v>795</v>
      </c>
      <c r="D221" s="113"/>
      <c r="E221" s="114" t="s">
        <v>797</v>
      </c>
      <c r="F221" s="162">
        <f>+Exp!L213</f>
        <v>0</v>
      </c>
    </row>
    <row r="222" spans="1:6" ht="15.75" customHeight="1" x14ac:dyDescent="0.35">
      <c r="A222" s="208"/>
      <c r="B222" s="37">
        <v>4</v>
      </c>
      <c r="C222" s="176" t="s">
        <v>800</v>
      </c>
      <c r="D222" s="217"/>
      <c r="E222" s="213" t="s">
        <v>801</v>
      </c>
      <c r="F222" s="216">
        <f>+Exp!L202</f>
        <v>0</v>
      </c>
    </row>
    <row r="223" spans="1:6" ht="15.75" customHeight="1" x14ac:dyDescent="0.35">
      <c r="A223" s="208"/>
      <c r="B223" s="37">
        <v>5</v>
      </c>
      <c r="C223" s="176" t="s">
        <v>803</v>
      </c>
      <c r="D223" s="217"/>
      <c r="E223" s="213" t="s">
        <v>805</v>
      </c>
      <c r="F223" s="216">
        <f>+Exp!L220</f>
        <v>0</v>
      </c>
    </row>
    <row r="224" spans="1:6" ht="15.75" customHeight="1" x14ac:dyDescent="0.35">
      <c r="A224" s="208"/>
      <c r="B224" s="37">
        <v>6</v>
      </c>
      <c r="C224" s="176" t="s">
        <v>806</v>
      </c>
      <c r="D224" s="217"/>
      <c r="E224" s="213" t="s">
        <v>808</v>
      </c>
      <c r="F224" s="216">
        <f>+Exp!L224</f>
        <v>0</v>
      </c>
    </row>
    <row r="225" spans="1:6" ht="15.75" customHeight="1" x14ac:dyDescent="0.35">
      <c r="A225" s="208"/>
      <c r="B225" s="37">
        <v>7</v>
      </c>
      <c r="C225" s="176" t="s">
        <v>809</v>
      </c>
      <c r="D225" s="217"/>
      <c r="E225" s="213" t="s">
        <v>810</v>
      </c>
      <c r="F225" s="216">
        <f>+Exp!L206</f>
        <v>0</v>
      </c>
    </row>
    <row r="226" spans="1:6" ht="15.75" customHeight="1" x14ac:dyDescent="0.35">
      <c r="A226" s="208"/>
      <c r="B226" s="37">
        <v>8</v>
      </c>
      <c r="C226" s="176" t="s">
        <v>814</v>
      </c>
      <c r="D226" s="217"/>
      <c r="E226" s="213" t="s">
        <v>815</v>
      </c>
      <c r="F226" s="216">
        <f>+Exp!L219</f>
        <v>0</v>
      </c>
    </row>
    <row r="227" spans="1:6" ht="15.75" customHeight="1" x14ac:dyDescent="0.35">
      <c r="A227" s="208"/>
      <c r="B227" s="37">
        <v>9</v>
      </c>
      <c r="C227" s="176" t="s">
        <v>820</v>
      </c>
      <c r="D227" s="217"/>
      <c r="E227" s="212">
        <v>7170009855</v>
      </c>
      <c r="F227" s="216">
        <f>+Exp!L204</f>
        <v>0</v>
      </c>
    </row>
    <row r="228" spans="1:6" ht="15.75" customHeight="1" x14ac:dyDescent="0.35">
      <c r="A228" s="208"/>
      <c r="B228" s="37">
        <v>10</v>
      </c>
      <c r="C228" s="176" t="s">
        <v>822</v>
      </c>
      <c r="D228" s="217"/>
      <c r="E228" s="213" t="s">
        <v>823</v>
      </c>
      <c r="F228" s="216">
        <f>+Exp!L211</f>
        <v>0</v>
      </c>
    </row>
    <row r="229" spans="1:6" ht="15.75" customHeight="1" x14ac:dyDescent="0.35">
      <c r="A229" s="208"/>
      <c r="B229" s="37">
        <v>11</v>
      </c>
      <c r="C229" s="176" t="s">
        <v>827</v>
      </c>
      <c r="D229" s="221"/>
      <c r="E229" s="212">
        <v>32046533320</v>
      </c>
      <c r="F229" s="216">
        <f>+Exp!L203</f>
        <v>0</v>
      </c>
    </row>
    <row r="230" spans="1:6" ht="15.75" customHeight="1" x14ac:dyDescent="0.35">
      <c r="A230" s="208"/>
      <c r="B230" s="37">
        <v>12</v>
      </c>
      <c r="C230" s="176" t="s">
        <v>831</v>
      </c>
      <c r="D230" s="217"/>
      <c r="E230" s="213" t="s">
        <v>832</v>
      </c>
      <c r="F230" s="216">
        <f>+Exp!L218</f>
        <v>0</v>
      </c>
    </row>
    <row r="231" spans="1:6" ht="15.75" customHeight="1" x14ac:dyDescent="0.35">
      <c r="A231" s="208"/>
      <c r="B231" s="37">
        <v>13</v>
      </c>
      <c r="C231" s="176" t="s">
        <v>833</v>
      </c>
      <c r="D231" s="217"/>
      <c r="E231" s="213" t="s">
        <v>836</v>
      </c>
      <c r="F231" s="216">
        <f>+Exp!L216</f>
        <v>0</v>
      </c>
    </row>
    <row r="232" spans="1:6" ht="15.75" customHeight="1" x14ac:dyDescent="0.35">
      <c r="A232" s="208"/>
      <c r="B232" s="37">
        <v>14</v>
      </c>
      <c r="C232" s="176" t="s">
        <v>839</v>
      </c>
      <c r="D232" s="124"/>
      <c r="E232" s="213" t="s">
        <v>840</v>
      </c>
      <c r="F232" s="216">
        <f>+Exp!L222</f>
        <v>0</v>
      </c>
    </row>
    <row r="233" spans="1:6" ht="15.75" customHeight="1" x14ac:dyDescent="0.35">
      <c r="A233" s="208"/>
      <c r="B233" s="37">
        <v>15</v>
      </c>
      <c r="C233" s="176" t="s">
        <v>842</v>
      </c>
      <c r="D233" s="217"/>
      <c r="E233" s="213" t="s">
        <v>844</v>
      </c>
      <c r="F233" s="216">
        <f>+Exp!L215</f>
        <v>0</v>
      </c>
    </row>
    <row r="234" spans="1:6" ht="15.75" customHeight="1" x14ac:dyDescent="0.35">
      <c r="A234" s="208"/>
      <c r="B234" s="37">
        <v>16</v>
      </c>
      <c r="C234" s="40" t="s">
        <v>846</v>
      </c>
      <c r="D234" s="39"/>
      <c r="E234" s="45">
        <v>7247507583</v>
      </c>
      <c r="F234" s="216">
        <f>+Exp!L212</f>
        <v>0</v>
      </c>
    </row>
    <row r="235" spans="1:6" ht="15.75" customHeight="1" x14ac:dyDescent="0.35">
      <c r="A235" s="208"/>
      <c r="B235" s="37">
        <v>17</v>
      </c>
      <c r="C235" s="176" t="s">
        <v>849</v>
      </c>
      <c r="D235" s="217"/>
      <c r="E235" s="213" t="s">
        <v>850</v>
      </c>
      <c r="F235" s="216">
        <f>+Exp!L205</f>
        <v>0</v>
      </c>
    </row>
    <row r="236" spans="1:6" ht="15.75" customHeight="1" x14ac:dyDescent="0.35">
      <c r="A236" s="208"/>
      <c r="B236" s="37">
        <v>18</v>
      </c>
      <c r="C236" s="176" t="s">
        <v>853</v>
      </c>
      <c r="D236" s="217"/>
      <c r="E236" s="213" t="s">
        <v>856</v>
      </c>
      <c r="F236" s="216">
        <f>+Exp!L217</f>
        <v>0</v>
      </c>
    </row>
    <row r="237" spans="1:6" ht="15.75" customHeight="1" x14ac:dyDescent="0.35">
      <c r="A237" s="208"/>
      <c r="B237" s="37">
        <v>19</v>
      </c>
      <c r="C237" s="176" t="s">
        <v>857</v>
      </c>
      <c r="D237" s="217"/>
      <c r="E237" s="213" t="s">
        <v>858</v>
      </c>
      <c r="F237" s="216">
        <f>+Exp!L214</f>
        <v>0</v>
      </c>
    </row>
    <row r="238" spans="1:6" ht="15.75" customHeight="1" x14ac:dyDescent="0.35">
      <c r="A238" s="208"/>
      <c r="B238" s="37"/>
      <c r="C238" s="176"/>
      <c r="D238" s="176"/>
      <c r="E238" s="212"/>
      <c r="F238" s="216"/>
    </row>
    <row r="239" spans="1:6" ht="15.75" customHeight="1" x14ac:dyDescent="0.35">
      <c r="A239" s="208"/>
      <c r="B239" s="37"/>
      <c r="C239" s="176"/>
      <c r="D239" s="176"/>
      <c r="E239" s="212"/>
      <c r="F239" s="216"/>
    </row>
    <row r="240" spans="1:6" ht="15.75" customHeight="1" x14ac:dyDescent="0.35">
      <c r="A240" s="222"/>
      <c r="B240" s="16"/>
      <c r="C240" s="223" t="s">
        <v>620</v>
      </c>
      <c r="D240" s="223"/>
      <c r="E240" s="224"/>
      <c r="F240" s="225">
        <f>SUM(F219:F237)</f>
        <v>0</v>
      </c>
    </row>
    <row r="241" spans="1:6" ht="15.75" customHeight="1" x14ac:dyDescent="0.35">
      <c r="A241" s="226"/>
      <c r="B241" s="179"/>
      <c r="C241" s="227" t="s">
        <v>752</v>
      </c>
      <c r="D241" s="227"/>
      <c r="E241" s="228"/>
      <c r="F241" s="229">
        <f>F240+F217+F212+F209</f>
        <v>0</v>
      </c>
    </row>
    <row r="242" spans="1:6" ht="15.75" customHeight="1" x14ac:dyDescent="0.35">
      <c r="F242" s="8"/>
    </row>
    <row r="243" spans="1:6" ht="15.75" customHeight="1" x14ac:dyDescent="0.35">
      <c r="A243" s="31"/>
      <c r="B243" s="230" t="s">
        <v>873</v>
      </c>
      <c r="C243" s="231"/>
      <c r="D243" s="40"/>
      <c r="E243" s="40"/>
      <c r="F243" s="196"/>
    </row>
    <row r="244" spans="1:6" ht="15.75" customHeight="1" x14ac:dyDescent="0.35">
      <c r="A244" s="31"/>
      <c r="B244" s="16" t="s">
        <v>758</v>
      </c>
      <c r="C244" s="18" t="s">
        <v>3</v>
      </c>
      <c r="D244" s="16"/>
      <c r="E244" s="16" t="s">
        <v>762</v>
      </c>
      <c r="F244" s="210" t="s">
        <v>6</v>
      </c>
    </row>
    <row r="245" spans="1:6" ht="15.75" customHeight="1" x14ac:dyDescent="0.35">
      <c r="A245" s="31"/>
      <c r="B245" s="16" t="s">
        <v>667</v>
      </c>
      <c r="C245" s="18"/>
      <c r="D245" s="16"/>
      <c r="E245" s="16"/>
      <c r="F245" s="210"/>
    </row>
    <row r="246" spans="1:6" ht="15.75" customHeight="1" x14ac:dyDescent="0.35">
      <c r="A246" s="31"/>
      <c r="B246" s="16">
        <v>1</v>
      </c>
      <c r="C246" s="40" t="s">
        <v>879</v>
      </c>
      <c r="D246" s="39"/>
      <c r="E246" s="45" t="s">
        <v>882</v>
      </c>
      <c r="F246" s="232">
        <f>+Exp!L258</f>
        <v>0</v>
      </c>
    </row>
    <row r="247" spans="1:6" ht="15.75" customHeight="1" x14ac:dyDescent="0.35">
      <c r="A247" s="31"/>
      <c r="B247" s="233"/>
      <c r="C247" s="234"/>
      <c r="D247" s="235"/>
      <c r="E247" s="236"/>
      <c r="F247" s="237">
        <f>+F246</f>
        <v>0</v>
      </c>
    </row>
    <row r="248" spans="1:6" ht="15.75" customHeight="1" x14ac:dyDescent="0.35">
      <c r="A248" s="31"/>
      <c r="B248" s="16" t="s">
        <v>768</v>
      </c>
      <c r="C248" s="208"/>
      <c r="D248" s="238"/>
      <c r="E248" s="238"/>
      <c r="F248" s="238"/>
    </row>
    <row r="249" spans="1:6" ht="15.75" customHeight="1" x14ac:dyDescent="0.35">
      <c r="A249" s="31"/>
      <c r="B249" s="37">
        <v>2</v>
      </c>
      <c r="C249" s="40" t="s">
        <v>891</v>
      </c>
      <c r="D249" s="40"/>
      <c r="E249" s="45" t="s">
        <v>892</v>
      </c>
      <c r="F249" s="162">
        <f>+Exp!L242</f>
        <v>0</v>
      </c>
    </row>
    <row r="250" spans="1:6" ht="15.75" customHeight="1" x14ac:dyDescent="0.35">
      <c r="A250" s="31"/>
      <c r="B250" s="239"/>
      <c r="C250" s="240"/>
      <c r="D250" s="240"/>
      <c r="E250" s="241"/>
      <c r="F250" s="242">
        <f>+F249</f>
        <v>0</v>
      </c>
    </row>
    <row r="251" spans="1:6" ht="15.75" customHeight="1" x14ac:dyDescent="0.35">
      <c r="A251" s="31"/>
      <c r="B251" s="16" t="s">
        <v>696</v>
      </c>
      <c r="C251" s="196"/>
      <c r="D251" s="40"/>
      <c r="E251" s="196"/>
      <c r="F251" s="196"/>
    </row>
    <row r="252" spans="1:6" ht="15.75" customHeight="1" x14ac:dyDescent="0.35">
      <c r="A252" s="31"/>
      <c r="B252" s="37">
        <v>1</v>
      </c>
      <c r="C252" s="40" t="s">
        <v>904</v>
      </c>
      <c r="D252" s="40"/>
      <c r="E252" s="45" t="s">
        <v>905</v>
      </c>
      <c r="F252" s="162">
        <f>+Exp!L245</f>
        <v>0</v>
      </c>
    </row>
    <row r="253" spans="1:6" ht="15.75" customHeight="1" x14ac:dyDescent="0.35">
      <c r="A253" s="31"/>
      <c r="B253" s="37">
        <v>2</v>
      </c>
      <c r="C253" s="103" t="s">
        <v>909</v>
      </c>
      <c r="D253" s="39"/>
      <c r="E253" s="114" t="s">
        <v>910</v>
      </c>
      <c r="F253" s="216">
        <f>+Exp!L273</f>
        <v>0</v>
      </c>
    </row>
    <row r="254" spans="1:6" ht="15.75" customHeight="1" x14ac:dyDescent="0.35">
      <c r="A254" s="31"/>
      <c r="B254" s="37">
        <v>3</v>
      </c>
      <c r="C254" s="103" t="s">
        <v>912</v>
      </c>
      <c r="D254" s="39"/>
      <c r="E254" s="114" t="s">
        <v>915</v>
      </c>
      <c r="F254" s="216">
        <f>+Exp!L261</f>
        <v>0</v>
      </c>
    </row>
    <row r="255" spans="1:6" ht="15.75" customHeight="1" x14ac:dyDescent="0.35">
      <c r="A255" s="31"/>
      <c r="B255" s="37">
        <v>4</v>
      </c>
      <c r="C255" s="103" t="s">
        <v>916</v>
      </c>
      <c r="D255" s="39"/>
      <c r="E255" s="114" t="s">
        <v>917</v>
      </c>
      <c r="F255" s="216">
        <f>+Exp!L248</f>
        <v>0</v>
      </c>
    </row>
    <row r="256" spans="1:6" ht="15.75" customHeight="1" x14ac:dyDescent="0.35">
      <c r="A256" s="31"/>
      <c r="B256" s="37"/>
      <c r="C256" s="103" t="s">
        <v>920</v>
      </c>
      <c r="D256" s="39"/>
      <c r="E256" s="114" t="s">
        <v>921</v>
      </c>
      <c r="F256" s="216">
        <f>+Exp!L232</f>
        <v>0</v>
      </c>
    </row>
    <row r="257" spans="1:6" ht="15.75" customHeight="1" x14ac:dyDescent="0.35">
      <c r="A257" s="31"/>
      <c r="B257" s="239"/>
      <c r="C257" s="240"/>
      <c r="D257" s="240"/>
      <c r="E257" s="241"/>
      <c r="F257" s="242">
        <f>SUM(F252:F256)</f>
        <v>0</v>
      </c>
    </row>
    <row r="258" spans="1:6" ht="15.75" customHeight="1" x14ac:dyDescent="0.35">
      <c r="A258" s="31"/>
      <c r="B258" s="16" t="s">
        <v>923</v>
      </c>
      <c r="C258" s="40"/>
      <c r="D258" s="40"/>
      <c r="E258" s="45"/>
      <c r="F258" s="182"/>
    </row>
    <row r="259" spans="1:6" ht="15.75" customHeight="1" x14ac:dyDescent="0.35">
      <c r="A259" s="31"/>
      <c r="B259" s="37">
        <v>1</v>
      </c>
      <c r="C259" s="40" t="s">
        <v>924</v>
      </c>
      <c r="D259" s="40"/>
      <c r="E259" s="45">
        <v>7170010159</v>
      </c>
      <c r="F259" s="162">
        <f>+Exp!L253</f>
        <v>0</v>
      </c>
    </row>
    <row r="260" spans="1:6" ht="15.75" customHeight="1" x14ac:dyDescent="0.35">
      <c r="A260" s="31"/>
      <c r="B260" s="37">
        <v>2</v>
      </c>
      <c r="C260" s="40" t="s">
        <v>925</v>
      </c>
      <c r="D260" s="40"/>
      <c r="E260" s="45" t="s">
        <v>928</v>
      </c>
      <c r="F260" s="162">
        <f>+Exp!L241</f>
        <v>0</v>
      </c>
    </row>
    <row r="261" spans="1:6" ht="15.75" customHeight="1" x14ac:dyDescent="0.35">
      <c r="A261" s="31"/>
      <c r="B261" s="37">
        <v>3</v>
      </c>
      <c r="C261" s="40" t="s">
        <v>929</v>
      </c>
      <c r="D261" s="40"/>
      <c r="E261" s="45" t="s">
        <v>930</v>
      </c>
      <c r="F261" s="162">
        <f>+Exp!L235</f>
        <v>0</v>
      </c>
    </row>
    <row r="262" spans="1:6" ht="15.75" customHeight="1" x14ac:dyDescent="0.35">
      <c r="A262" s="31"/>
      <c r="B262" s="37">
        <v>4</v>
      </c>
      <c r="C262" s="40" t="s">
        <v>931</v>
      </c>
      <c r="D262" s="113"/>
      <c r="E262" s="114" t="s">
        <v>932</v>
      </c>
      <c r="F262" s="162">
        <f>+Exp!L268</f>
        <v>0</v>
      </c>
    </row>
    <row r="263" spans="1:6" ht="15.75" customHeight="1" x14ac:dyDescent="0.35">
      <c r="A263" s="31"/>
      <c r="B263" s="37">
        <v>5</v>
      </c>
      <c r="C263" s="40" t="s">
        <v>935</v>
      </c>
      <c r="D263" s="113"/>
      <c r="E263" s="114" t="s">
        <v>936</v>
      </c>
      <c r="F263" s="162">
        <f>+Exp!L243</f>
        <v>0</v>
      </c>
    </row>
    <row r="264" spans="1:6" ht="15.75" customHeight="1" x14ac:dyDescent="0.35">
      <c r="A264" s="31"/>
      <c r="B264" s="37">
        <v>6</v>
      </c>
      <c r="C264" s="176" t="s">
        <v>937</v>
      </c>
      <c r="D264" s="39"/>
      <c r="E264" s="45" t="s">
        <v>939</v>
      </c>
      <c r="F264" s="216">
        <f>+Exp!L259</f>
        <v>0</v>
      </c>
    </row>
    <row r="265" spans="1:6" ht="15.75" customHeight="1" x14ac:dyDescent="0.35">
      <c r="A265" s="31"/>
      <c r="B265" s="37">
        <v>7</v>
      </c>
      <c r="C265" s="40" t="s">
        <v>941</v>
      </c>
      <c r="D265" s="39"/>
      <c r="E265" s="40" t="s">
        <v>942</v>
      </c>
      <c r="F265" s="162">
        <f>+Exp!L260</f>
        <v>0</v>
      </c>
    </row>
    <row r="266" spans="1:6" ht="15.75" customHeight="1" x14ac:dyDescent="0.35">
      <c r="A266" s="31"/>
      <c r="B266" s="37">
        <v>8</v>
      </c>
      <c r="C266" s="176" t="s">
        <v>943</v>
      </c>
      <c r="D266" s="39"/>
      <c r="E266" s="45" t="s">
        <v>944</v>
      </c>
      <c r="F266" s="216">
        <f>+Exp!L231</f>
        <v>0</v>
      </c>
    </row>
    <row r="267" spans="1:6" ht="15.75" customHeight="1" x14ac:dyDescent="0.35">
      <c r="A267" s="31"/>
      <c r="B267" s="37">
        <v>9</v>
      </c>
      <c r="C267" s="176" t="s">
        <v>947</v>
      </c>
      <c r="D267" s="39"/>
      <c r="E267" s="45" t="s">
        <v>948</v>
      </c>
      <c r="F267" s="216">
        <f>+Exp!L269</f>
        <v>0</v>
      </c>
    </row>
    <row r="268" spans="1:6" ht="15.75" customHeight="1" x14ac:dyDescent="0.35">
      <c r="A268" s="31"/>
      <c r="B268" s="37">
        <v>10</v>
      </c>
      <c r="C268" s="40" t="s">
        <v>949</v>
      </c>
      <c r="D268" s="39"/>
      <c r="E268" s="45" t="s">
        <v>950</v>
      </c>
      <c r="F268" s="162">
        <f>+Exp!L256</f>
        <v>0</v>
      </c>
    </row>
    <row r="269" spans="1:6" ht="15.75" customHeight="1" x14ac:dyDescent="0.35">
      <c r="A269" s="31"/>
      <c r="B269" s="37">
        <v>11</v>
      </c>
      <c r="C269" s="40" t="s">
        <v>951</v>
      </c>
      <c r="D269" s="39"/>
      <c r="E269" s="45" t="s">
        <v>952</v>
      </c>
      <c r="F269" s="216">
        <f>+Exp!L279</f>
        <v>0</v>
      </c>
    </row>
    <row r="270" spans="1:6" ht="15.75" customHeight="1" x14ac:dyDescent="0.35">
      <c r="A270" s="31"/>
      <c r="B270" s="37">
        <v>12</v>
      </c>
      <c r="C270" s="176" t="s">
        <v>954</v>
      </c>
      <c r="D270" s="39"/>
      <c r="E270" s="45" t="s">
        <v>955</v>
      </c>
      <c r="F270" s="216">
        <f>+Exp!L252</f>
        <v>0</v>
      </c>
    </row>
    <row r="271" spans="1:6" ht="15.75" customHeight="1" x14ac:dyDescent="0.35">
      <c r="A271" s="31"/>
      <c r="B271" s="37">
        <v>13</v>
      </c>
      <c r="C271" s="176" t="s">
        <v>956</v>
      </c>
      <c r="D271" s="39"/>
      <c r="E271" s="45">
        <v>1039102741971</v>
      </c>
      <c r="F271" s="216">
        <f>+Exp!L234</f>
        <v>0</v>
      </c>
    </row>
    <row r="272" spans="1:6" ht="15.75" customHeight="1" x14ac:dyDescent="0.35">
      <c r="A272" s="31"/>
      <c r="B272" s="37">
        <v>14</v>
      </c>
      <c r="C272" s="176" t="s">
        <v>959</v>
      </c>
      <c r="D272" s="39"/>
      <c r="E272" s="45" t="s">
        <v>960</v>
      </c>
      <c r="F272" s="216">
        <f>+Exp!L266</f>
        <v>0</v>
      </c>
    </row>
    <row r="273" spans="1:6" ht="15.75" customHeight="1" x14ac:dyDescent="0.35">
      <c r="A273" s="31"/>
      <c r="B273" s="37">
        <v>15</v>
      </c>
      <c r="C273" s="40" t="s">
        <v>961</v>
      </c>
      <c r="D273" s="39"/>
      <c r="E273" s="45" t="s">
        <v>964</v>
      </c>
      <c r="F273" s="216">
        <f>+Exp!L249</f>
        <v>0</v>
      </c>
    </row>
    <row r="274" spans="1:6" ht="15.75" customHeight="1" x14ac:dyDescent="0.35">
      <c r="A274" s="31"/>
      <c r="B274" s="37">
        <v>16</v>
      </c>
      <c r="C274" s="40" t="s">
        <v>965</v>
      </c>
      <c r="D274" s="39"/>
      <c r="E274" s="45" t="s">
        <v>966</v>
      </c>
      <c r="F274" s="216">
        <f>+Exp!L237</f>
        <v>0</v>
      </c>
    </row>
    <row r="275" spans="1:6" ht="15.75" customHeight="1" x14ac:dyDescent="0.35">
      <c r="A275" s="31"/>
      <c r="B275" s="37">
        <v>17</v>
      </c>
      <c r="C275" s="40" t="s">
        <v>970</v>
      </c>
      <c r="D275" s="39"/>
      <c r="E275" s="45" t="s">
        <v>971</v>
      </c>
      <c r="F275" s="216">
        <f>+Exp!L250</f>
        <v>0</v>
      </c>
    </row>
    <row r="276" spans="1:6" ht="15.75" customHeight="1" x14ac:dyDescent="0.35">
      <c r="A276" s="31"/>
      <c r="B276" s="37">
        <v>18</v>
      </c>
      <c r="C276" s="176" t="s">
        <v>972</v>
      </c>
      <c r="D276" s="39"/>
      <c r="E276" s="45" t="s">
        <v>973</v>
      </c>
      <c r="F276" s="216">
        <f>+Exp!L233</f>
        <v>0</v>
      </c>
    </row>
    <row r="277" spans="1:6" ht="15.75" customHeight="1" x14ac:dyDescent="0.35">
      <c r="A277" s="31"/>
      <c r="B277" s="37">
        <v>19</v>
      </c>
      <c r="C277" s="40" t="s">
        <v>976</v>
      </c>
      <c r="D277" s="40"/>
      <c r="E277" s="45" t="s">
        <v>977</v>
      </c>
      <c r="F277" s="162">
        <f>+Exp!L272</f>
        <v>0</v>
      </c>
    </row>
    <row r="278" spans="1:6" ht="15.75" customHeight="1" x14ac:dyDescent="0.35">
      <c r="A278" s="31"/>
      <c r="B278" s="37">
        <v>20</v>
      </c>
      <c r="C278" s="40" t="s">
        <v>979</v>
      </c>
      <c r="D278" s="40"/>
      <c r="E278" s="45" t="s">
        <v>980</v>
      </c>
      <c r="F278" s="162">
        <f>+Exp!L255</f>
        <v>0</v>
      </c>
    </row>
    <row r="279" spans="1:6" ht="15.75" customHeight="1" x14ac:dyDescent="0.35">
      <c r="A279" s="31"/>
      <c r="B279" s="37">
        <v>21</v>
      </c>
      <c r="C279" s="40" t="s">
        <v>982</v>
      </c>
      <c r="D279" s="39"/>
      <c r="E279" s="40" t="s">
        <v>985</v>
      </c>
      <c r="F279" s="196">
        <f>+Exp!L271</f>
        <v>0</v>
      </c>
    </row>
    <row r="280" spans="1:6" ht="15.75" customHeight="1" x14ac:dyDescent="0.35">
      <c r="A280" s="31"/>
      <c r="B280" s="37">
        <v>22</v>
      </c>
      <c r="C280" s="40" t="s">
        <v>987</v>
      </c>
      <c r="D280" s="39"/>
      <c r="E280" s="113" t="s">
        <v>988</v>
      </c>
      <c r="F280" s="196">
        <f>+Exp!L278</f>
        <v>0</v>
      </c>
    </row>
    <row r="281" spans="1:6" ht="15.75" customHeight="1" x14ac:dyDescent="0.35">
      <c r="A281" s="31"/>
      <c r="B281" s="37">
        <v>23</v>
      </c>
      <c r="C281" s="40" t="s">
        <v>989</v>
      </c>
      <c r="D281" s="39"/>
      <c r="E281" s="40" t="s">
        <v>990</v>
      </c>
      <c r="F281" s="196">
        <f>+Exp!L281</f>
        <v>0</v>
      </c>
    </row>
    <row r="282" spans="1:6" ht="15.75" customHeight="1" x14ac:dyDescent="0.35">
      <c r="A282" s="31"/>
      <c r="B282" s="37">
        <v>24</v>
      </c>
      <c r="C282" s="40" t="s">
        <v>992</v>
      </c>
      <c r="D282" s="39"/>
      <c r="E282" s="40" t="s">
        <v>994</v>
      </c>
      <c r="F282" s="196">
        <f>+Exp!L239</f>
        <v>0</v>
      </c>
    </row>
    <row r="283" spans="1:6" ht="15.75" customHeight="1" x14ac:dyDescent="0.35">
      <c r="A283" s="31"/>
      <c r="B283" s="37">
        <v>25</v>
      </c>
      <c r="C283" s="40" t="s">
        <v>996</v>
      </c>
      <c r="D283" s="39"/>
      <c r="E283" s="40" t="s">
        <v>997</v>
      </c>
      <c r="F283" s="196">
        <f>+Exp!L277</f>
        <v>0</v>
      </c>
    </row>
    <row r="284" spans="1:6" ht="15.75" customHeight="1" x14ac:dyDescent="0.35">
      <c r="A284" s="31"/>
      <c r="B284" s="37">
        <v>26</v>
      </c>
      <c r="C284" s="176" t="s">
        <v>999</v>
      </c>
      <c r="D284" s="40"/>
      <c r="E284" s="45" t="s">
        <v>1000</v>
      </c>
      <c r="F284" s="216">
        <f>+Exp!L244</f>
        <v>0</v>
      </c>
    </row>
    <row r="285" spans="1:6" ht="15.75" customHeight="1" x14ac:dyDescent="0.35">
      <c r="A285" s="31"/>
      <c r="B285" s="37">
        <v>27</v>
      </c>
      <c r="C285" s="40" t="s">
        <v>1001</v>
      </c>
      <c r="D285" s="113"/>
      <c r="E285" s="114" t="s">
        <v>1002</v>
      </c>
      <c r="F285" s="216">
        <f>+Exp!L238</f>
        <v>0</v>
      </c>
    </row>
    <row r="286" spans="1:6" ht="15.75" customHeight="1" x14ac:dyDescent="0.35">
      <c r="A286" s="31"/>
      <c r="B286" s="37">
        <v>29</v>
      </c>
      <c r="C286" s="40" t="s">
        <v>1005</v>
      </c>
      <c r="D286" s="113"/>
      <c r="E286" s="45">
        <v>3205366357</v>
      </c>
      <c r="F286" s="216">
        <f>+Exp!L257</f>
        <v>0</v>
      </c>
    </row>
    <row r="287" spans="1:6" ht="15.75" customHeight="1" x14ac:dyDescent="0.35">
      <c r="A287" s="31"/>
      <c r="B287" s="37">
        <v>30</v>
      </c>
      <c r="C287" s="40" t="s">
        <v>1008</v>
      </c>
      <c r="D287" s="40"/>
      <c r="E287" s="45" t="s">
        <v>1009</v>
      </c>
      <c r="F287" s="216">
        <f>+Exp!L270</f>
        <v>0</v>
      </c>
    </row>
    <row r="288" spans="1:6" ht="15.75" customHeight="1" x14ac:dyDescent="0.35">
      <c r="A288" s="31"/>
      <c r="B288" s="37">
        <v>31</v>
      </c>
      <c r="C288" s="40" t="s">
        <v>1010</v>
      </c>
      <c r="D288" s="40"/>
      <c r="E288" s="45" t="s">
        <v>1011</v>
      </c>
      <c r="F288" s="216">
        <f>+Exp!L240</f>
        <v>0</v>
      </c>
    </row>
    <row r="289" spans="1:6" ht="15.75" customHeight="1" x14ac:dyDescent="0.35">
      <c r="A289" s="31"/>
      <c r="B289" s="37">
        <v>32</v>
      </c>
      <c r="C289" s="40" t="s">
        <v>1015</v>
      </c>
      <c r="D289" s="113"/>
      <c r="E289" s="114" t="s">
        <v>1016</v>
      </c>
      <c r="F289" s="216">
        <f>+Exp!L262</f>
        <v>0</v>
      </c>
    </row>
    <row r="290" spans="1:6" ht="15.75" customHeight="1" x14ac:dyDescent="0.35">
      <c r="A290" s="31"/>
      <c r="B290" s="37">
        <v>33</v>
      </c>
      <c r="C290" s="40" t="s">
        <v>1018</v>
      </c>
      <c r="D290" s="113"/>
      <c r="E290" s="114" t="s">
        <v>1019</v>
      </c>
      <c r="F290" s="216">
        <f>+Exp!L264</f>
        <v>0</v>
      </c>
    </row>
    <row r="291" spans="1:6" ht="15.75" customHeight="1" x14ac:dyDescent="0.35">
      <c r="A291" s="31"/>
      <c r="B291" s="37">
        <v>34</v>
      </c>
      <c r="C291" s="40" t="s">
        <v>1021</v>
      </c>
      <c r="D291" s="113"/>
      <c r="E291" s="114" t="s">
        <v>1023</v>
      </c>
      <c r="F291" s="216">
        <f>+Exp!L236</f>
        <v>0</v>
      </c>
    </row>
    <row r="292" spans="1:6" ht="15.75" customHeight="1" x14ac:dyDescent="0.35">
      <c r="A292" s="31"/>
      <c r="B292" s="37">
        <v>35</v>
      </c>
      <c r="C292" s="40" t="s">
        <v>1024</v>
      </c>
      <c r="D292" s="113"/>
      <c r="E292" s="114" t="s">
        <v>1025</v>
      </c>
      <c r="F292" s="216">
        <f>+Exp!L265</f>
        <v>0</v>
      </c>
    </row>
    <row r="293" spans="1:6" ht="15.75" customHeight="1" x14ac:dyDescent="0.35">
      <c r="A293" s="31"/>
      <c r="B293" s="37">
        <v>36</v>
      </c>
      <c r="C293" s="40" t="s">
        <v>1027</v>
      </c>
      <c r="D293" s="113"/>
      <c r="E293" s="114" t="s">
        <v>1028</v>
      </c>
      <c r="F293" s="216">
        <f>+Exp!L263</f>
        <v>0</v>
      </c>
    </row>
    <row r="294" spans="1:6" ht="15.75" customHeight="1" x14ac:dyDescent="0.35">
      <c r="A294" s="31"/>
      <c r="B294" s="37">
        <v>37</v>
      </c>
      <c r="C294" s="40" t="s">
        <v>1029</v>
      </c>
      <c r="D294" s="113"/>
      <c r="E294" s="114" t="s">
        <v>1031</v>
      </c>
      <c r="F294" s="216">
        <f>+Exp!L275</f>
        <v>0</v>
      </c>
    </row>
    <row r="295" spans="1:6" ht="15.75" customHeight="1" x14ac:dyDescent="0.35">
      <c r="A295" s="31"/>
      <c r="B295" s="37">
        <v>38</v>
      </c>
      <c r="C295" s="40" t="s">
        <v>1032</v>
      </c>
      <c r="D295" s="113"/>
      <c r="E295" s="114" t="s">
        <v>1033</v>
      </c>
      <c r="F295" s="216">
        <f>+Exp!L276</f>
        <v>0</v>
      </c>
    </row>
    <row r="296" spans="1:6" ht="15.75" customHeight="1" x14ac:dyDescent="0.35">
      <c r="A296" s="31"/>
      <c r="B296" s="37">
        <v>39</v>
      </c>
      <c r="C296" s="40" t="s">
        <v>1034</v>
      </c>
      <c r="D296" s="113"/>
      <c r="E296" s="114" t="s">
        <v>1037</v>
      </c>
      <c r="F296" s="216">
        <f>+Exp!L251</f>
        <v>0</v>
      </c>
    </row>
    <row r="297" spans="1:6" ht="15.75" customHeight="1" x14ac:dyDescent="0.35">
      <c r="A297" s="31"/>
      <c r="B297" s="37">
        <v>40</v>
      </c>
      <c r="C297" s="40" t="s">
        <v>1039</v>
      </c>
      <c r="D297" s="113"/>
      <c r="E297" s="114" t="s">
        <v>1040</v>
      </c>
      <c r="F297" s="216">
        <f>+Exp!L280</f>
        <v>0</v>
      </c>
    </row>
    <row r="298" spans="1:6" ht="15.75" customHeight="1" x14ac:dyDescent="0.35">
      <c r="A298" s="31"/>
      <c r="B298" s="37">
        <v>41</v>
      </c>
      <c r="C298" s="40" t="s">
        <v>1043</v>
      </c>
      <c r="D298" s="113"/>
      <c r="E298" s="114" t="s">
        <v>1044</v>
      </c>
      <c r="F298" s="216">
        <f>+Exp!L246</f>
        <v>0</v>
      </c>
    </row>
    <row r="299" spans="1:6" ht="15.75" customHeight="1" x14ac:dyDescent="0.35">
      <c r="A299" s="31"/>
      <c r="B299" s="37">
        <v>42</v>
      </c>
      <c r="C299" s="40" t="s">
        <v>1046</v>
      </c>
      <c r="D299" s="113"/>
      <c r="E299" s="114" t="s">
        <v>1047</v>
      </c>
      <c r="F299" s="216">
        <f>+Exp!L267</f>
        <v>0</v>
      </c>
    </row>
    <row r="300" spans="1:6" ht="15.75" customHeight="1" x14ac:dyDescent="0.35">
      <c r="A300" s="31"/>
      <c r="B300" s="37">
        <v>43</v>
      </c>
      <c r="C300" s="40" t="s">
        <v>1051</v>
      </c>
      <c r="D300" s="113"/>
      <c r="E300" s="114" t="s">
        <v>1052</v>
      </c>
      <c r="F300" s="216">
        <f>+Exp!L230</f>
        <v>0</v>
      </c>
    </row>
    <row r="301" spans="1:6" ht="15.75" customHeight="1" x14ac:dyDescent="0.35">
      <c r="A301" s="31"/>
      <c r="B301" s="37">
        <v>44</v>
      </c>
      <c r="C301" s="40" t="s">
        <v>1054</v>
      </c>
      <c r="D301" s="113"/>
      <c r="E301" s="114" t="s">
        <v>1055</v>
      </c>
      <c r="F301" s="216">
        <f>+Exp!L254</f>
        <v>0</v>
      </c>
    </row>
    <row r="302" spans="1:6" ht="15.75" customHeight="1" x14ac:dyDescent="0.35">
      <c r="A302" s="31"/>
      <c r="B302" s="37"/>
      <c r="C302" s="40" t="s">
        <v>1056</v>
      </c>
      <c r="D302" s="113"/>
      <c r="E302" s="114" t="s">
        <v>1057</v>
      </c>
      <c r="F302" s="216">
        <f>+Exp!L247</f>
        <v>0</v>
      </c>
    </row>
    <row r="303" spans="1:6" ht="15.75" customHeight="1" x14ac:dyDescent="0.35">
      <c r="A303" s="31"/>
      <c r="B303" s="37"/>
      <c r="C303" s="40" t="s">
        <v>1060</v>
      </c>
      <c r="D303" s="113"/>
      <c r="E303" s="114" t="s">
        <v>1061</v>
      </c>
      <c r="F303" s="216">
        <f>+Exp!L274</f>
        <v>0</v>
      </c>
    </row>
    <row r="304" spans="1:6" ht="15.75" customHeight="1" x14ac:dyDescent="0.35">
      <c r="A304" s="13"/>
      <c r="B304" s="255"/>
      <c r="C304" s="255" t="s">
        <v>620</v>
      </c>
      <c r="D304" s="255"/>
      <c r="E304" s="255"/>
      <c r="F304" s="256">
        <f>SUM(F259:F303)</f>
        <v>0</v>
      </c>
    </row>
    <row r="305" spans="1:26" ht="15.75" customHeight="1" x14ac:dyDescent="0.35">
      <c r="A305" s="178"/>
      <c r="B305" s="257"/>
      <c r="C305" s="257" t="s">
        <v>752</v>
      </c>
      <c r="D305" s="257"/>
      <c r="E305" s="257"/>
      <c r="F305" s="258">
        <f>F304+F257+F250+F247</f>
        <v>0</v>
      </c>
    </row>
    <row r="306" spans="1:26" ht="15.75" customHeight="1" x14ac:dyDescent="0.35">
      <c r="F306" s="8"/>
    </row>
    <row r="307" spans="1:26" ht="15.75" customHeight="1" x14ac:dyDescent="0.35">
      <c r="B307" s="2" t="s">
        <v>1072</v>
      </c>
      <c r="F307" s="8"/>
    </row>
    <row r="308" spans="1:26" ht="15.75" customHeight="1" x14ac:dyDescent="0.35">
      <c r="A308" s="31"/>
      <c r="B308" s="21" t="s">
        <v>1073</v>
      </c>
      <c r="C308" s="40"/>
      <c r="D308" s="40"/>
      <c r="E308" s="40"/>
      <c r="F308" s="196"/>
    </row>
    <row r="309" spans="1:26" ht="15.75" customHeight="1" x14ac:dyDescent="0.35">
      <c r="A309" s="31"/>
      <c r="B309" s="259" t="s">
        <v>758</v>
      </c>
      <c r="C309" s="260" t="s">
        <v>3</v>
      </c>
      <c r="D309" s="259"/>
      <c r="E309" s="259" t="s">
        <v>762</v>
      </c>
      <c r="F309" s="262" t="s">
        <v>6</v>
      </c>
    </row>
    <row r="310" spans="1:26" ht="15.75" customHeight="1" x14ac:dyDescent="0.35">
      <c r="A310" s="31"/>
      <c r="B310" s="259" t="s">
        <v>768</v>
      </c>
      <c r="C310" s="176"/>
      <c r="D310" s="176"/>
      <c r="E310" s="212"/>
      <c r="F310" s="216"/>
    </row>
    <row r="311" spans="1:26" ht="15.75" customHeight="1" x14ac:dyDescent="0.35">
      <c r="A311" s="31"/>
      <c r="B311" s="259">
        <v>1</v>
      </c>
      <c r="C311" s="39" t="s">
        <v>1078</v>
      </c>
      <c r="D311" s="124"/>
      <c r="E311" s="124" t="s">
        <v>1079</v>
      </c>
      <c r="F311" s="216">
        <f>+Exp!L296</f>
        <v>0</v>
      </c>
    </row>
    <row r="312" spans="1:26" ht="15.75" customHeight="1" x14ac:dyDescent="0.35">
      <c r="A312" s="13"/>
      <c r="B312" s="263"/>
      <c r="C312" s="264"/>
      <c r="D312" s="264"/>
      <c r="E312" s="264"/>
      <c r="F312" s="265">
        <f>+F311</f>
        <v>0</v>
      </c>
      <c r="G312" s="266"/>
      <c r="H312" s="266"/>
      <c r="I312" s="266"/>
      <c r="J312" s="266"/>
      <c r="K312" s="266"/>
      <c r="L312" s="266"/>
      <c r="M312" s="266"/>
      <c r="N312" s="266"/>
      <c r="O312" s="266"/>
      <c r="P312" s="266"/>
      <c r="Q312" s="266"/>
      <c r="R312" s="266"/>
      <c r="S312" s="266"/>
      <c r="T312" s="266"/>
      <c r="U312" s="266"/>
      <c r="V312" s="266"/>
      <c r="W312" s="266"/>
      <c r="X312" s="266"/>
      <c r="Y312" s="266"/>
      <c r="Z312" s="266"/>
    </row>
    <row r="313" spans="1:26" ht="15.75" customHeight="1" x14ac:dyDescent="0.35">
      <c r="A313" s="31"/>
      <c r="B313" s="16"/>
      <c r="C313" s="40"/>
      <c r="D313" s="39"/>
      <c r="E313" s="39"/>
      <c r="F313" s="196"/>
    </row>
    <row r="314" spans="1:26" ht="15.75" customHeight="1" x14ac:dyDescent="0.35">
      <c r="A314" s="31"/>
      <c r="B314" s="16" t="s">
        <v>1085</v>
      </c>
      <c r="C314" s="40"/>
      <c r="D314" s="39"/>
      <c r="E314" s="39"/>
      <c r="F314" s="196"/>
    </row>
    <row r="315" spans="1:26" ht="15.75" customHeight="1" x14ac:dyDescent="0.35">
      <c r="A315" s="31"/>
      <c r="B315" s="37">
        <v>1</v>
      </c>
      <c r="C315" s="40" t="s">
        <v>1086</v>
      </c>
      <c r="D315" s="39"/>
      <c r="E315" s="114" t="s">
        <v>1087</v>
      </c>
      <c r="F315" s="162">
        <f>+Exp!L287</f>
        <v>0</v>
      </c>
    </row>
    <row r="316" spans="1:26" ht="15.75" customHeight="1" x14ac:dyDescent="0.35">
      <c r="A316" s="31"/>
      <c r="B316" s="37">
        <v>2</v>
      </c>
      <c r="C316" s="40" t="s">
        <v>1090</v>
      </c>
      <c r="D316" s="124"/>
      <c r="E316" s="114" t="s">
        <v>1091</v>
      </c>
      <c r="F316" s="162">
        <f>+Exp!L285</f>
        <v>0</v>
      </c>
    </row>
    <row r="317" spans="1:26" ht="15.75" customHeight="1" x14ac:dyDescent="0.35">
      <c r="A317" s="31"/>
      <c r="B317" s="37">
        <v>3</v>
      </c>
      <c r="C317" s="40" t="s">
        <v>1093</v>
      </c>
      <c r="D317" s="113"/>
      <c r="E317" s="41">
        <v>7170011074</v>
      </c>
      <c r="F317" s="162">
        <f>+Exp!L294</f>
        <v>0</v>
      </c>
    </row>
    <row r="318" spans="1:26" ht="15.75" customHeight="1" x14ac:dyDescent="0.35">
      <c r="A318" s="31"/>
      <c r="B318" s="37">
        <v>4</v>
      </c>
      <c r="C318" s="40" t="s">
        <v>1098</v>
      </c>
      <c r="D318" s="124"/>
      <c r="E318" s="45">
        <v>6005912898</v>
      </c>
      <c r="F318" s="162">
        <f>+Exp!L292</f>
        <v>0</v>
      </c>
    </row>
    <row r="319" spans="1:26" ht="15.75" customHeight="1" x14ac:dyDescent="0.35">
      <c r="A319" s="31"/>
      <c r="B319" s="37">
        <v>5</v>
      </c>
      <c r="C319" s="176" t="s">
        <v>1099</v>
      </c>
      <c r="D319" s="113"/>
      <c r="E319" s="213" t="s">
        <v>1100</v>
      </c>
      <c r="F319" s="104">
        <f>+Exp!L291</f>
        <v>0</v>
      </c>
    </row>
    <row r="320" spans="1:26" ht="15.75" customHeight="1" x14ac:dyDescent="0.35">
      <c r="A320" s="31"/>
      <c r="B320" s="37">
        <v>6</v>
      </c>
      <c r="C320" s="40" t="s">
        <v>1102</v>
      </c>
      <c r="D320" s="124"/>
      <c r="E320" s="114" t="s">
        <v>1103</v>
      </c>
      <c r="F320" s="162">
        <f>+Exp!L288</f>
        <v>0</v>
      </c>
    </row>
    <row r="321" spans="1:6" ht="15.75" customHeight="1" x14ac:dyDescent="0.35">
      <c r="A321" s="31"/>
      <c r="B321" s="37">
        <v>7</v>
      </c>
      <c r="C321" s="40" t="s">
        <v>1105</v>
      </c>
      <c r="D321" s="124"/>
      <c r="E321" s="114" t="s">
        <v>1107</v>
      </c>
      <c r="F321" s="162">
        <f>+Exp!L293</f>
        <v>0</v>
      </c>
    </row>
    <row r="322" spans="1:6" ht="15.75" customHeight="1" x14ac:dyDescent="0.35">
      <c r="A322" s="31"/>
      <c r="B322" s="37">
        <v>8</v>
      </c>
      <c r="C322" s="40" t="s">
        <v>1111</v>
      </c>
      <c r="D322" s="113"/>
      <c r="E322" s="124" t="s">
        <v>1112</v>
      </c>
      <c r="F322" s="162">
        <f>+Exp!L289</f>
        <v>0</v>
      </c>
    </row>
    <row r="323" spans="1:6" ht="15.75" customHeight="1" x14ac:dyDescent="0.35">
      <c r="A323" s="31"/>
      <c r="B323" s="37">
        <v>9</v>
      </c>
      <c r="C323" s="40" t="s">
        <v>1113</v>
      </c>
      <c r="D323" s="124"/>
      <c r="E323" s="124" t="s">
        <v>1114</v>
      </c>
      <c r="F323" s="162">
        <f>+Exp!L286</f>
        <v>0</v>
      </c>
    </row>
    <row r="324" spans="1:6" ht="15.75" customHeight="1" x14ac:dyDescent="0.35">
      <c r="A324" s="31"/>
      <c r="B324" s="37">
        <v>10</v>
      </c>
      <c r="C324" s="176" t="s">
        <v>1117</v>
      </c>
      <c r="D324" s="103"/>
      <c r="E324" s="103">
        <v>3200193033</v>
      </c>
      <c r="F324" s="104">
        <f>+Exp!L290</f>
        <v>0</v>
      </c>
    </row>
    <row r="325" spans="1:6" ht="15.75" customHeight="1" x14ac:dyDescent="0.35">
      <c r="A325" s="31"/>
      <c r="B325" s="37">
        <v>11</v>
      </c>
      <c r="C325" s="40" t="s">
        <v>1119</v>
      </c>
      <c r="D325" s="113"/>
      <c r="E325" s="113" t="s">
        <v>1121</v>
      </c>
      <c r="F325" s="104">
        <f>+Exp!L295</f>
        <v>0</v>
      </c>
    </row>
    <row r="326" spans="1:6" ht="15.75" customHeight="1" x14ac:dyDescent="0.35">
      <c r="A326" s="13"/>
      <c r="B326" s="269"/>
      <c r="C326" s="269" t="s">
        <v>620</v>
      </c>
      <c r="D326" s="269"/>
      <c r="E326" s="269"/>
      <c r="F326" s="270">
        <f>SUM(F315:F325)</f>
        <v>0</v>
      </c>
    </row>
    <row r="327" spans="1:6" ht="15.75" customHeight="1" x14ac:dyDescent="0.35">
      <c r="A327" s="178"/>
      <c r="B327" s="271"/>
      <c r="C327" s="271" t="s">
        <v>752</v>
      </c>
      <c r="D327" s="271"/>
      <c r="E327" s="271"/>
      <c r="F327" s="272">
        <f>F326+F312</f>
        <v>0</v>
      </c>
    </row>
    <row r="328" spans="1:6" ht="15.75" customHeight="1" x14ac:dyDescent="0.35">
      <c r="F328" s="8"/>
    </row>
    <row r="329" spans="1:6" ht="15.75" customHeight="1" x14ac:dyDescent="0.35">
      <c r="A329" s="31"/>
      <c r="B329" s="273" t="s">
        <v>1125</v>
      </c>
      <c r="C329" s="31"/>
      <c r="D329" s="31"/>
      <c r="E329" s="31"/>
      <c r="F329" s="44"/>
    </row>
    <row r="330" spans="1:6" ht="15.75" customHeight="1" x14ac:dyDescent="0.35">
      <c r="A330" s="31"/>
      <c r="B330" s="16" t="s">
        <v>758</v>
      </c>
      <c r="C330" s="18" t="s">
        <v>3</v>
      </c>
      <c r="D330" s="16"/>
      <c r="E330" s="16" t="s">
        <v>762</v>
      </c>
      <c r="F330" s="210" t="s">
        <v>6</v>
      </c>
    </row>
    <row r="331" spans="1:6" ht="15.75" customHeight="1" x14ac:dyDescent="0.35">
      <c r="A331" s="31"/>
      <c r="B331" s="16" t="s">
        <v>768</v>
      </c>
      <c r="C331" s="40"/>
      <c r="D331" s="39"/>
      <c r="E331" s="39"/>
      <c r="F331" s="162"/>
    </row>
    <row r="332" spans="1:6" ht="15.75" customHeight="1" x14ac:dyDescent="0.35">
      <c r="A332" s="31"/>
      <c r="B332" s="16"/>
      <c r="C332" s="40" t="s">
        <v>1129</v>
      </c>
      <c r="D332" s="124"/>
      <c r="E332" s="124" t="s">
        <v>1130</v>
      </c>
      <c r="F332" s="162">
        <f>+Exp!L307</f>
        <v>0</v>
      </c>
    </row>
    <row r="333" spans="1:6" ht="15.75" customHeight="1" x14ac:dyDescent="0.35">
      <c r="A333" s="31"/>
      <c r="B333" s="277"/>
      <c r="C333" s="278"/>
      <c r="D333" s="278"/>
      <c r="E333" s="279"/>
      <c r="F333" s="280">
        <f>+F332</f>
        <v>0</v>
      </c>
    </row>
    <row r="334" spans="1:6" ht="15.75" customHeight="1" x14ac:dyDescent="0.35">
      <c r="A334" s="31"/>
      <c r="B334" s="16" t="s">
        <v>696</v>
      </c>
      <c r="C334" s="176"/>
      <c r="D334" s="215"/>
      <c r="E334" s="212"/>
      <c r="F334" s="216"/>
    </row>
    <row r="335" spans="1:6" ht="15.75" customHeight="1" x14ac:dyDescent="0.35">
      <c r="A335" s="31"/>
      <c r="B335" s="37">
        <v>1</v>
      </c>
      <c r="C335" s="40" t="s">
        <v>1133</v>
      </c>
      <c r="D335" s="124"/>
      <c r="E335" s="114" t="s">
        <v>1134</v>
      </c>
      <c r="F335" s="162">
        <f>+Exp!L303</f>
        <v>0</v>
      </c>
    </row>
    <row r="336" spans="1:6" ht="15.75" customHeight="1" x14ac:dyDescent="0.35">
      <c r="A336" s="31"/>
      <c r="B336" s="37">
        <v>2</v>
      </c>
      <c r="C336" s="40" t="s">
        <v>1137</v>
      </c>
      <c r="D336" s="124"/>
      <c r="E336" s="113" t="s">
        <v>1138</v>
      </c>
      <c r="F336" s="196">
        <f>+Exp!L308</f>
        <v>0</v>
      </c>
    </row>
    <row r="337" spans="1:6" ht="15.75" customHeight="1" x14ac:dyDescent="0.35">
      <c r="A337" s="31"/>
      <c r="B337" s="277"/>
      <c r="C337" s="278"/>
      <c r="D337" s="278"/>
      <c r="E337" s="279"/>
      <c r="F337" s="280">
        <f>SUM(F335:F336)</f>
        <v>0</v>
      </c>
    </row>
    <row r="338" spans="1:6" ht="15.75" customHeight="1" x14ac:dyDescent="0.35">
      <c r="A338" s="31"/>
      <c r="B338" s="16"/>
      <c r="C338" s="40"/>
      <c r="D338" s="40"/>
      <c r="E338" s="45"/>
      <c r="F338" s="182"/>
    </row>
    <row r="339" spans="1:6" ht="15.75" customHeight="1" x14ac:dyDescent="0.35">
      <c r="A339" s="31"/>
      <c r="B339" s="37">
        <v>1</v>
      </c>
      <c r="C339" s="40" t="s">
        <v>1141</v>
      </c>
      <c r="D339" s="113"/>
      <c r="E339" s="124" t="s">
        <v>1142</v>
      </c>
      <c r="F339" s="162">
        <f>+Exp!L302</f>
        <v>0</v>
      </c>
    </row>
    <row r="340" spans="1:6" ht="15.75" customHeight="1" x14ac:dyDescent="0.35">
      <c r="A340" s="31"/>
      <c r="B340" s="37">
        <v>2</v>
      </c>
      <c r="C340" s="40" t="s">
        <v>1145</v>
      </c>
      <c r="D340" s="113"/>
      <c r="E340" s="113" t="s">
        <v>1146</v>
      </c>
      <c r="F340" s="196">
        <f>+Exp!L301</f>
        <v>0</v>
      </c>
    </row>
    <row r="341" spans="1:6" ht="15.75" customHeight="1" x14ac:dyDescent="0.35">
      <c r="A341" s="31"/>
      <c r="B341" s="37">
        <v>3</v>
      </c>
      <c r="C341" s="40" t="s">
        <v>1149</v>
      </c>
      <c r="D341" s="113"/>
      <c r="E341" s="113" t="s">
        <v>1150</v>
      </c>
      <c r="F341" s="162">
        <f>+Exp!L306</f>
        <v>0</v>
      </c>
    </row>
    <row r="342" spans="1:6" ht="15.75" customHeight="1" x14ac:dyDescent="0.35">
      <c r="A342" s="31"/>
      <c r="B342" s="37">
        <v>28</v>
      </c>
      <c r="C342" s="40" t="s">
        <v>1151</v>
      </c>
      <c r="D342" s="113"/>
      <c r="E342" s="114" t="s">
        <v>1152</v>
      </c>
      <c r="F342" s="216">
        <f>+Exp!L300</f>
        <v>0</v>
      </c>
    </row>
    <row r="343" spans="1:6" ht="15.75" customHeight="1" x14ac:dyDescent="0.35">
      <c r="A343" s="31"/>
      <c r="B343" s="37"/>
      <c r="C343" s="40" t="s">
        <v>1155</v>
      </c>
      <c r="D343" s="113"/>
      <c r="E343" s="113" t="s">
        <v>1156</v>
      </c>
      <c r="F343" s="162">
        <f>+Exp!L304</f>
        <v>0</v>
      </c>
    </row>
    <row r="344" spans="1:6" ht="15.75" customHeight="1" x14ac:dyDescent="0.35">
      <c r="A344" s="31"/>
      <c r="B344" s="37">
        <v>4</v>
      </c>
      <c r="C344" s="40" t="s">
        <v>1157</v>
      </c>
      <c r="D344" s="113"/>
      <c r="E344" s="113" t="s">
        <v>1158</v>
      </c>
      <c r="F344" s="162">
        <f>+Exp!L305</f>
        <v>0</v>
      </c>
    </row>
    <row r="345" spans="1:6" ht="15.75" customHeight="1" x14ac:dyDescent="0.35">
      <c r="A345" s="31"/>
      <c r="B345" s="288"/>
      <c r="C345" s="288" t="s">
        <v>620</v>
      </c>
      <c r="D345" s="288"/>
      <c r="E345" s="288"/>
      <c r="F345" s="289">
        <f>SUM(F339:F344)</f>
        <v>0</v>
      </c>
    </row>
    <row r="346" spans="1:6" ht="15.75" customHeight="1" x14ac:dyDescent="0.35">
      <c r="A346" s="290"/>
      <c r="B346" s="291"/>
      <c r="C346" s="291" t="s">
        <v>752</v>
      </c>
      <c r="D346" s="291"/>
      <c r="E346" s="291"/>
      <c r="F346" s="292">
        <f>F345+F337+F333</f>
        <v>0</v>
      </c>
    </row>
    <row r="347" spans="1:6" ht="15.75" customHeight="1" x14ac:dyDescent="0.35">
      <c r="F347" s="8"/>
    </row>
    <row r="348" spans="1:6" ht="15.75" customHeight="1" x14ac:dyDescent="0.35">
      <c r="A348" s="31"/>
      <c r="B348" s="230" t="s">
        <v>1164</v>
      </c>
      <c r="C348" s="40"/>
      <c r="D348" s="40"/>
      <c r="E348" s="40"/>
      <c r="F348" s="196"/>
    </row>
    <row r="349" spans="1:6" ht="15.75" customHeight="1" x14ac:dyDescent="0.35">
      <c r="A349" s="31"/>
      <c r="B349" s="16" t="s">
        <v>758</v>
      </c>
      <c r="C349" s="18" t="s">
        <v>3</v>
      </c>
      <c r="D349" s="16"/>
      <c r="E349" s="16" t="s">
        <v>762</v>
      </c>
      <c r="F349" s="210" t="s">
        <v>6</v>
      </c>
    </row>
    <row r="350" spans="1:6" ht="15.75" customHeight="1" x14ac:dyDescent="0.35">
      <c r="A350" s="31"/>
      <c r="B350" s="37"/>
      <c r="C350" s="176"/>
      <c r="D350" s="39"/>
      <c r="E350" s="212"/>
      <c r="F350" s="104"/>
    </row>
    <row r="351" spans="1:6" ht="15.75" customHeight="1" x14ac:dyDescent="0.35">
      <c r="A351" s="31"/>
      <c r="B351" s="37">
        <v>1</v>
      </c>
      <c r="C351" s="176" t="s">
        <v>1167</v>
      </c>
      <c r="D351" s="39"/>
      <c r="E351" s="45" t="s">
        <v>1168</v>
      </c>
      <c r="F351" s="216">
        <f>+Exp!L313</f>
        <v>0</v>
      </c>
    </row>
    <row r="352" spans="1:6" ht="15.75" customHeight="1" x14ac:dyDescent="0.35">
      <c r="A352" s="31"/>
      <c r="B352" s="37">
        <v>2</v>
      </c>
      <c r="C352" s="39" t="s">
        <v>1171</v>
      </c>
      <c r="D352" s="113"/>
      <c r="E352" s="113" t="s">
        <v>1172</v>
      </c>
      <c r="F352" s="162">
        <f>+Exp!L316</f>
        <v>0</v>
      </c>
    </row>
    <row r="353" spans="1:26" ht="15.75" customHeight="1" x14ac:dyDescent="0.35">
      <c r="A353" s="31"/>
      <c r="B353" s="37">
        <v>3</v>
      </c>
      <c r="C353" s="40" t="s">
        <v>1173</v>
      </c>
      <c r="D353" s="39"/>
      <c r="E353" s="45" t="s">
        <v>1174</v>
      </c>
      <c r="F353" s="216">
        <f>+Exp!L315</f>
        <v>0</v>
      </c>
    </row>
    <row r="354" spans="1:26" ht="15.75" customHeight="1" x14ac:dyDescent="0.35">
      <c r="A354" s="31"/>
      <c r="B354" s="37">
        <v>4</v>
      </c>
      <c r="C354" s="40" t="s">
        <v>1176</v>
      </c>
      <c r="D354" s="39"/>
      <c r="E354" s="45" t="s">
        <v>1177</v>
      </c>
      <c r="F354" s="216">
        <f>+Exp!L314</f>
        <v>0</v>
      </c>
    </row>
    <row r="355" spans="1:26" ht="15.75" customHeight="1" x14ac:dyDescent="0.35">
      <c r="A355" s="31"/>
      <c r="B355" s="37">
        <v>5</v>
      </c>
      <c r="C355" s="40" t="s">
        <v>1178</v>
      </c>
      <c r="D355" s="124"/>
      <c r="E355" s="114" t="s">
        <v>1179</v>
      </c>
      <c r="F355" s="216">
        <f>+Exp!L312</f>
        <v>0</v>
      </c>
    </row>
    <row r="356" spans="1:26" ht="15.75" customHeight="1" x14ac:dyDescent="0.35">
      <c r="A356" s="13"/>
      <c r="B356" s="295"/>
      <c r="C356" s="295"/>
      <c r="D356" s="295"/>
      <c r="E356" s="295"/>
      <c r="F356" s="296">
        <f>SUM(F351:F355)</f>
        <v>0</v>
      </c>
      <c r="G356" s="266"/>
      <c r="H356" s="266"/>
      <c r="I356" s="266"/>
      <c r="J356" s="266"/>
      <c r="K356" s="266"/>
      <c r="L356" s="266"/>
      <c r="M356" s="266"/>
      <c r="N356" s="266"/>
      <c r="O356" s="266"/>
      <c r="P356" s="266"/>
      <c r="Q356" s="266"/>
      <c r="R356" s="266"/>
      <c r="S356" s="266"/>
      <c r="T356" s="266"/>
      <c r="U356" s="266"/>
      <c r="V356" s="266"/>
      <c r="W356" s="266"/>
      <c r="X356" s="266"/>
      <c r="Y356" s="266"/>
      <c r="Z356" s="266"/>
    </row>
    <row r="357" spans="1:26" ht="15.75" customHeight="1" x14ac:dyDescent="0.35">
      <c r="F357" s="8"/>
    </row>
    <row r="358" spans="1:26" ht="15.75" customHeight="1" x14ac:dyDescent="0.35">
      <c r="A358" s="31"/>
      <c r="B358" s="230" t="s">
        <v>1185</v>
      </c>
      <c r="C358" s="40"/>
      <c r="D358" s="40"/>
      <c r="E358" s="40"/>
      <c r="F358" s="196"/>
    </row>
    <row r="359" spans="1:26" ht="15.75" customHeight="1" x14ac:dyDescent="0.35">
      <c r="A359" s="31"/>
      <c r="B359" s="16" t="s">
        <v>758</v>
      </c>
      <c r="C359" s="18" t="s">
        <v>3</v>
      </c>
      <c r="D359" s="16"/>
      <c r="E359" s="16" t="s">
        <v>762</v>
      </c>
      <c r="F359" s="210" t="s">
        <v>6</v>
      </c>
    </row>
    <row r="360" spans="1:26" ht="15.75" customHeight="1" x14ac:dyDescent="0.35">
      <c r="A360" s="31"/>
      <c r="B360" s="37">
        <v>1</v>
      </c>
      <c r="C360" s="40" t="s">
        <v>1187</v>
      </c>
      <c r="D360" s="113"/>
      <c r="E360" s="114" t="s">
        <v>1188</v>
      </c>
      <c r="F360" s="162">
        <f>+Exp!L321</f>
        <v>0</v>
      </c>
    </row>
    <row r="361" spans="1:26" ht="15.75" customHeight="1" x14ac:dyDescent="0.35">
      <c r="A361" s="31"/>
      <c r="B361" s="37">
        <v>2</v>
      </c>
      <c r="C361" s="39" t="s">
        <v>1189</v>
      </c>
      <c r="D361" s="124"/>
      <c r="E361" s="114" t="s">
        <v>1190</v>
      </c>
      <c r="F361" s="162">
        <f>+Exp!L322</f>
        <v>0</v>
      </c>
    </row>
    <row r="362" spans="1:26" ht="15.75" customHeight="1" x14ac:dyDescent="0.35">
      <c r="A362" s="31"/>
      <c r="B362" s="37">
        <v>3</v>
      </c>
      <c r="C362" s="40" t="s">
        <v>1193</v>
      </c>
      <c r="D362" s="124"/>
      <c r="E362" s="45">
        <v>7170009976</v>
      </c>
      <c r="F362" s="162">
        <f>+Exp!L320</f>
        <v>0</v>
      </c>
    </row>
    <row r="363" spans="1:26" ht="15.75" customHeight="1" x14ac:dyDescent="0.35">
      <c r="A363" s="295"/>
      <c r="B363" s="295"/>
      <c r="C363" s="295"/>
      <c r="D363" s="295"/>
      <c r="E363" s="295"/>
      <c r="F363" s="296">
        <f>SUM(F360:F362)</f>
        <v>0</v>
      </c>
    </row>
    <row r="364" spans="1:26" ht="15.75" customHeight="1" x14ac:dyDescent="0.35">
      <c r="F364" s="8"/>
    </row>
    <row r="365" spans="1:26" ht="15.75" customHeight="1" x14ac:dyDescent="0.35">
      <c r="A365" s="31"/>
      <c r="B365" s="230" t="s">
        <v>1196</v>
      </c>
      <c r="C365" s="40"/>
      <c r="D365" s="40"/>
      <c r="E365" s="40"/>
      <c r="F365" s="196"/>
    </row>
    <row r="366" spans="1:26" ht="15.75" customHeight="1" x14ac:dyDescent="0.35">
      <c r="A366" s="31"/>
      <c r="B366" s="16" t="s">
        <v>758</v>
      </c>
      <c r="C366" s="18" t="s">
        <v>3</v>
      </c>
      <c r="D366" s="16"/>
      <c r="E366" s="16" t="s">
        <v>762</v>
      </c>
      <c r="F366" s="210" t="s">
        <v>6</v>
      </c>
    </row>
    <row r="367" spans="1:26" ht="15.75" customHeight="1" x14ac:dyDescent="0.35">
      <c r="A367" s="31"/>
      <c r="B367" s="37"/>
      <c r="C367" s="176"/>
      <c r="D367" s="39"/>
      <c r="E367" s="212"/>
      <c r="F367" s="104"/>
    </row>
    <row r="368" spans="1:26" ht="15.75" customHeight="1" x14ac:dyDescent="0.35">
      <c r="A368" s="31"/>
      <c r="B368" s="37">
        <v>1</v>
      </c>
      <c r="C368" s="176" t="s">
        <v>1198</v>
      </c>
      <c r="D368" s="124"/>
      <c r="E368" s="212">
        <v>1256360008</v>
      </c>
      <c r="F368" s="216">
        <f>+Exp!L330</f>
        <v>0</v>
      </c>
    </row>
    <row r="369" spans="1:26" ht="15.75" customHeight="1" x14ac:dyDescent="0.35">
      <c r="A369" s="31"/>
      <c r="B369" s="37">
        <v>2</v>
      </c>
      <c r="C369" s="40" t="s">
        <v>1199</v>
      </c>
      <c r="D369" s="113"/>
      <c r="E369" s="45">
        <v>7217504530</v>
      </c>
      <c r="F369" s="216">
        <f>+Exp!L327</f>
        <v>0</v>
      </c>
    </row>
    <row r="370" spans="1:26" ht="15.75" customHeight="1" x14ac:dyDescent="0.35">
      <c r="A370" s="31"/>
      <c r="B370" s="37">
        <v>3</v>
      </c>
      <c r="C370" s="39" t="s">
        <v>1204</v>
      </c>
      <c r="D370" s="113"/>
      <c r="E370" s="45">
        <v>9030007544056</v>
      </c>
      <c r="F370" s="216">
        <f>+Exp!L331</f>
        <v>0</v>
      </c>
    </row>
    <row r="371" spans="1:26" ht="15.75" customHeight="1" x14ac:dyDescent="0.35">
      <c r="A371" s="31"/>
      <c r="B371" s="37">
        <v>4</v>
      </c>
      <c r="C371" s="176" t="s">
        <v>1205</v>
      </c>
      <c r="D371" s="103"/>
      <c r="E371" s="212" t="s">
        <v>1206</v>
      </c>
      <c r="F371" s="216">
        <f>+Exp!L328</f>
        <v>0</v>
      </c>
    </row>
    <row r="372" spans="1:26" ht="15.75" customHeight="1" x14ac:dyDescent="0.35">
      <c r="A372" s="31"/>
      <c r="B372" s="37"/>
      <c r="C372" s="176" t="s">
        <v>1208</v>
      </c>
      <c r="D372" s="103"/>
      <c r="E372" s="212" t="s">
        <v>1209</v>
      </c>
      <c r="F372" s="216">
        <f>+Exp!L329</f>
        <v>0</v>
      </c>
    </row>
    <row r="373" spans="1:26" ht="15.75" customHeight="1" x14ac:dyDescent="0.35">
      <c r="A373" s="31"/>
      <c r="B373" s="37">
        <v>5</v>
      </c>
      <c r="C373" s="40" t="s">
        <v>1210</v>
      </c>
      <c r="D373" s="124"/>
      <c r="E373" s="45" t="s">
        <v>1211</v>
      </c>
      <c r="F373" s="216">
        <f>+Exp!L332</f>
        <v>0</v>
      </c>
    </row>
    <row r="374" spans="1:26" ht="15.75" customHeight="1" x14ac:dyDescent="0.35">
      <c r="A374" s="31"/>
      <c r="B374" s="37">
        <v>6</v>
      </c>
      <c r="C374" s="40" t="s">
        <v>1212</v>
      </c>
      <c r="D374" s="124"/>
      <c r="E374" s="45" t="s">
        <v>1214</v>
      </c>
      <c r="F374" s="216">
        <f>+Exp!L326</f>
        <v>0</v>
      </c>
    </row>
    <row r="375" spans="1:26" ht="15.75" customHeight="1" x14ac:dyDescent="0.35">
      <c r="A375" s="31"/>
      <c r="B375" s="37">
        <v>7</v>
      </c>
      <c r="C375" s="40" t="s">
        <v>1217</v>
      </c>
      <c r="D375" s="124"/>
      <c r="E375" s="114" t="s">
        <v>1218</v>
      </c>
      <c r="F375" s="216">
        <f>+Exp!L333</f>
        <v>0</v>
      </c>
    </row>
    <row r="376" spans="1:26" ht="15.75" customHeight="1" x14ac:dyDescent="0.35">
      <c r="A376" s="295"/>
      <c r="B376" s="295"/>
      <c r="C376" s="295"/>
      <c r="D376" s="295"/>
      <c r="E376" s="295"/>
      <c r="F376" s="296">
        <f>SUM(F368:F375)</f>
        <v>0</v>
      </c>
      <c r="G376" s="266"/>
      <c r="H376" s="266"/>
      <c r="I376" s="266"/>
      <c r="J376" s="266"/>
      <c r="K376" s="266"/>
      <c r="L376" s="266"/>
      <c r="M376" s="266"/>
      <c r="N376" s="266"/>
      <c r="O376" s="266"/>
      <c r="P376" s="266"/>
      <c r="Q376" s="266"/>
      <c r="R376" s="266"/>
      <c r="S376" s="266"/>
      <c r="T376" s="266"/>
      <c r="U376" s="266"/>
      <c r="V376" s="266"/>
      <c r="W376" s="266"/>
      <c r="X376" s="266"/>
      <c r="Y376" s="266"/>
      <c r="Z376" s="266"/>
    </row>
    <row r="377" spans="1:26" ht="15.75" customHeight="1" x14ac:dyDescent="0.35">
      <c r="F377" s="8"/>
    </row>
    <row r="378" spans="1:26" ht="15.75" customHeight="1" x14ac:dyDescent="0.35">
      <c r="F378" s="8"/>
    </row>
    <row r="379" spans="1:26" ht="15.75" customHeight="1" x14ac:dyDescent="0.35">
      <c r="A379" s="40"/>
      <c r="B379" s="230" t="s">
        <v>1225</v>
      </c>
      <c r="C379" s="231"/>
      <c r="D379" s="40"/>
      <c r="E379" s="40"/>
      <c r="F379" s="196"/>
    </row>
    <row r="380" spans="1:26" ht="15.75" customHeight="1" x14ac:dyDescent="0.35">
      <c r="A380" s="40"/>
      <c r="B380" s="16" t="s">
        <v>758</v>
      </c>
      <c r="C380" s="18" t="s">
        <v>3</v>
      </c>
      <c r="D380" s="16"/>
      <c r="E380" s="16" t="s">
        <v>762</v>
      </c>
      <c r="F380" s="210" t="s">
        <v>6</v>
      </c>
    </row>
    <row r="381" spans="1:26" ht="15.75" customHeight="1" x14ac:dyDescent="0.35">
      <c r="A381" s="40"/>
      <c r="B381" s="16"/>
      <c r="C381" s="40"/>
      <c r="D381" s="40"/>
      <c r="E381" s="45"/>
      <c r="F381" s="162"/>
    </row>
    <row r="382" spans="1:26" ht="15.75" customHeight="1" x14ac:dyDescent="0.35">
      <c r="A382" s="40"/>
      <c r="B382" s="37">
        <v>2</v>
      </c>
      <c r="C382" s="40" t="s">
        <v>1231</v>
      </c>
      <c r="D382" s="40"/>
      <c r="E382" s="45" t="s">
        <v>1233</v>
      </c>
      <c r="F382" s="196">
        <f>+Exp!L342</f>
        <v>0</v>
      </c>
    </row>
    <row r="383" spans="1:26" ht="15.75" customHeight="1" x14ac:dyDescent="0.35">
      <c r="A383" s="40"/>
      <c r="B383" s="37"/>
      <c r="C383" s="40" t="s">
        <v>1235</v>
      </c>
      <c r="D383" s="113"/>
      <c r="E383" s="114" t="s">
        <v>1236</v>
      </c>
      <c r="F383" s="196">
        <f>+Exp!L340</f>
        <v>0</v>
      </c>
    </row>
    <row r="384" spans="1:26" ht="15.75" customHeight="1" x14ac:dyDescent="0.35">
      <c r="A384" s="40"/>
      <c r="B384" s="37">
        <v>3</v>
      </c>
      <c r="C384" s="40" t="s">
        <v>1239</v>
      </c>
      <c r="D384" s="40"/>
      <c r="E384" s="45" t="s">
        <v>1240</v>
      </c>
      <c r="F384" s="196">
        <f>+Exp!L338</f>
        <v>0</v>
      </c>
    </row>
    <row r="385" spans="1:26" ht="15.75" customHeight="1" x14ac:dyDescent="0.35">
      <c r="A385" s="40"/>
      <c r="B385" s="37"/>
      <c r="C385" s="40" t="s">
        <v>1244</v>
      </c>
      <c r="D385" s="40"/>
      <c r="E385" s="45" t="s">
        <v>1246</v>
      </c>
      <c r="F385" s="196">
        <f>+Exp!L343</f>
        <v>0</v>
      </c>
    </row>
    <row r="386" spans="1:26" ht="15.75" customHeight="1" x14ac:dyDescent="0.35">
      <c r="A386" s="40"/>
      <c r="B386" s="37"/>
      <c r="C386" s="40" t="s">
        <v>1247</v>
      </c>
      <c r="D386" s="40"/>
      <c r="E386" s="45">
        <v>7255003687</v>
      </c>
      <c r="F386" s="196">
        <f>+Exp!L339</f>
        <v>0</v>
      </c>
    </row>
    <row r="387" spans="1:26" ht="15.75" customHeight="1" x14ac:dyDescent="0.35">
      <c r="A387" s="40"/>
      <c r="B387" s="37"/>
      <c r="C387" s="40" t="s">
        <v>1255</v>
      </c>
      <c r="D387" s="40"/>
      <c r="E387" s="45" t="s">
        <v>1256</v>
      </c>
      <c r="F387" s="196">
        <f>+Exp!L341</f>
        <v>0</v>
      </c>
    </row>
    <row r="388" spans="1:26" ht="15.75" customHeight="1" x14ac:dyDescent="0.35">
      <c r="A388" s="40"/>
      <c r="B388" s="37"/>
      <c r="C388" s="40"/>
      <c r="D388" s="306"/>
      <c r="E388" s="307"/>
      <c r="F388" s="214"/>
    </row>
    <row r="389" spans="1:26" ht="15.75" customHeight="1" x14ac:dyDescent="0.35">
      <c r="A389" s="40"/>
      <c r="B389" s="37">
        <v>5</v>
      </c>
      <c r="C389" s="40" t="s">
        <v>1261</v>
      </c>
      <c r="D389" s="40"/>
      <c r="E389" s="114" t="s">
        <v>1262</v>
      </c>
      <c r="F389" s="196">
        <f>+Exp!L337</f>
        <v>0</v>
      </c>
    </row>
    <row r="390" spans="1:26" ht="15.75" customHeight="1" x14ac:dyDescent="0.35">
      <c r="A390" s="306"/>
      <c r="B390" s="308"/>
      <c r="C390" s="309"/>
      <c r="D390" s="306"/>
      <c r="E390" s="310"/>
      <c r="F390" s="311">
        <f>SUM(F382:F389)</f>
        <v>0</v>
      </c>
    </row>
    <row r="391" spans="1:26" ht="15.75" customHeight="1" x14ac:dyDescent="0.35">
      <c r="F391" s="8"/>
    </row>
    <row r="392" spans="1:26" ht="15.75" customHeight="1" x14ac:dyDescent="0.35">
      <c r="A392" s="31"/>
      <c r="B392" s="3" t="s">
        <v>1269</v>
      </c>
      <c r="C392" s="1"/>
      <c r="D392" s="1"/>
      <c r="E392" s="1"/>
      <c r="F392" s="44"/>
    </row>
    <row r="393" spans="1:26" ht="15.75" customHeight="1" x14ac:dyDescent="0.35">
      <c r="A393" s="31"/>
      <c r="B393" s="15" t="s">
        <v>758</v>
      </c>
      <c r="C393" s="17" t="s">
        <v>3</v>
      </c>
      <c r="D393" s="15"/>
      <c r="E393" s="15" t="s">
        <v>762</v>
      </c>
      <c r="F393" s="44"/>
    </row>
    <row r="394" spans="1:26" ht="15.75" customHeight="1" x14ac:dyDescent="0.35">
      <c r="A394" s="31"/>
      <c r="B394" s="24">
        <v>1</v>
      </c>
      <c r="C394" s="33" t="s">
        <v>1273</v>
      </c>
      <c r="D394" s="33"/>
      <c r="E394" s="33" t="s">
        <v>1275</v>
      </c>
      <c r="F394" s="44">
        <f>+Exp!L348</f>
        <v>0</v>
      </c>
    </row>
    <row r="395" spans="1:26" ht="15.75" customHeight="1" x14ac:dyDescent="0.35">
      <c r="A395" s="31"/>
      <c r="B395" s="24">
        <v>2</v>
      </c>
      <c r="C395" s="1" t="s">
        <v>1277</v>
      </c>
      <c r="D395" s="125"/>
      <c r="E395" s="164" t="s">
        <v>1278</v>
      </c>
      <c r="F395" s="44">
        <f>+Exp!L347</f>
        <v>0</v>
      </c>
    </row>
    <row r="396" spans="1:26" ht="15.75" customHeight="1" x14ac:dyDescent="0.35">
      <c r="A396" s="314"/>
      <c r="B396" s="314"/>
      <c r="C396" s="314"/>
      <c r="D396" s="314"/>
      <c r="E396" s="314"/>
      <c r="F396" s="318">
        <f>SUM(F394:F395)</f>
        <v>0</v>
      </c>
      <c r="G396" s="266"/>
      <c r="H396" s="266"/>
      <c r="I396" s="266"/>
      <c r="J396" s="266"/>
      <c r="K396" s="266"/>
      <c r="L396" s="266"/>
      <c r="M396" s="266"/>
      <c r="N396" s="266"/>
      <c r="O396" s="266"/>
      <c r="P396" s="266"/>
      <c r="Q396" s="266"/>
      <c r="R396" s="266"/>
      <c r="S396" s="266"/>
      <c r="T396" s="266"/>
      <c r="U396" s="266"/>
      <c r="V396" s="266"/>
      <c r="W396" s="266"/>
      <c r="X396" s="266"/>
      <c r="Y396" s="266"/>
      <c r="Z396" s="266"/>
    </row>
    <row r="397" spans="1:26" ht="15.75" customHeight="1" x14ac:dyDescent="0.35">
      <c r="F397" s="8"/>
    </row>
    <row r="398" spans="1:26" ht="15.75" customHeight="1" x14ac:dyDescent="0.35">
      <c r="F398" s="8"/>
    </row>
    <row r="399" spans="1:26" ht="15.75" customHeight="1" x14ac:dyDescent="0.35">
      <c r="F399" s="8"/>
    </row>
    <row r="400" spans="1:26" ht="15.75" customHeight="1" x14ac:dyDescent="0.35">
      <c r="F400" s="8"/>
    </row>
    <row r="401" spans="2:6" ht="15.75" customHeight="1" x14ac:dyDescent="0.35">
      <c r="F401" s="8"/>
    </row>
    <row r="402" spans="2:6" ht="15.75" customHeight="1" x14ac:dyDescent="0.35">
      <c r="E402" s="271" t="s">
        <v>752</v>
      </c>
      <c r="F402" s="272">
        <f>F390+F376+F363+F356+F345+F337+F333+F326+F312+F304+F257+F250+F247+F240+F217+F212+F209+F201+F186+F176+F160+F396</f>
        <v>0</v>
      </c>
    </row>
    <row r="403" spans="2:6" ht="15.75" customHeight="1" x14ac:dyDescent="0.35">
      <c r="F403" s="8"/>
    </row>
    <row r="404" spans="2:6" ht="15.75" customHeight="1" x14ac:dyDescent="0.35">
      <c r="F404" s="8"/>
    </row>
    <row r="405" spans="2:6" ht="15.75" customHeight="1" x14ac:dyDescent="0.35">
      <c r="F405" s="8"/>
    </row>
    <row r="406" spans="2:6" ht="15.75" customHeight="1" x14ac:dyDescent="0.35">
      <c r="B406" s="31" t="s">
        <v>0</v>
      </c>
      <c r="C406" s="44">
        <f>+Exp!L199</f>
        <v>0</v>
      </c>
      <c r="D406" s="44"/>
      <c r="F406" s="8"/>
    </row>
    <row r="407" spans="2:6" ht="15.75" customHeight="1" x14ac:dyDescent="0.35">
      <c r="B407" s="31" t="s">
        <v>755</v>
      </c>
      <c r="C407" s="44">
        <f>+Exp!L227</f>
        <v>0</v>
      </c>
      <c r="D407" s="44"/>
      <c r="F407" s="8"/>
    </row>
    <row r="408" spans="2:6" ht="15.75" customHeight="1" x14ac:dyDescent="0.35">
      <c r="B408" s="31" t="s">
        <v>1279</v>
      </c>
      <c r="C408" s="44">
        <f>+Exp!L282</f>
        <v>0</v>
      </c>
      <c r="D408" s="44"/>
      <c r="F408" s="8"/>
    </row>
    <row r="409" spans="2:6" ht="15.75" customHeight="1" x14ac:dyDescent="0.35">
      <c r="B409" s="31" t="s">
        <v>1072</v>
      </c>
      <c r="C409" s="44">
        <f>+Exp!L297</f>
        <v>0</v>
      </c>
      <c r="D409" s="44"/>
      <c r="F409" s="8"/>
    </row>
    <row r="410" spans="2:6" ht="15.75" customHeight="1" x14ac:dyDescent="0.35">
      <c r="B410" s="31" t="s">
        <v>1125</v>
      </c>
      <c r="C410" s="44">
        <f>+Exp!L309</f>
        <v>0</v>
      </c>
      <c r="D410" s="44"/>
      <c r="F410" s="8"/>
    </row>
    <row r="411" spans="2:6" ht="15.75" customHeight="1" x14ac:dyDescent="0.35">
      <c r="B411" s="31" t="s">
        <v>1164</v>
      </c>
      <c r="C411" s="44">
        <f>+Exp!L317</f>
        <v>0</v>
      </c>
      <c r="D411" s="44"/>
      <c r="F411" s="8"/>
    </row>
    <row r="412" spans="2:6" ht="15.75" customHeight="1" x14ac:dyDescent="0.35">
      <c r="B412" s="31" t="s">
        <v>1185</v>
      </c>
      <c r="C412" s="44">
        <f>+Exp!L323</f>
        <v>0</v>
      </c>
      <c r="D412" s="44"/>
      <c r="F412" s="8"/>
    </row>
    <row r="413" spans="2:6" ht="15.75" customHeight="1" x14ac:dyDescent="0.35">
      <c r="B413" s="31" t="s">
        <v>1196</v>
      </c>
      <c r="C413" s="44">
        <f>+Exp!L334</f>
        <v>0</v>
      </c>
      <c r="D413" s="44"/>
      <c r="F413" s="8"/>
    </row>
    <row r="414" spans="2:6" ht="15.75" customHeight="1" x14ac:dyDescent="0.35">
      <c r="B414" s="328" t="s">
        <v>1286</v>
      </c>
      <c r="C414" s="329">
        <f>+Exp!L344</f>
        <v>0</v>
      </c>
      <c r="D414" s="329"/>
      <c r="F414" s="8"/>
    </row>
    <row r="415" spans="2:6" ht="15.75" customHeight="1" x14ac:dyDescent="0.35">
      <c r="B415" s="31" t="s">
        <v>1269</v>
      </c>
      <c r="C415" s="331">
        <f>+Exp!L349</f>
        <v>0</v>
      </c>
      <c r="D415" s="44"/>
      <c r="F415" s="8"/>
    </row>
    <row r="416" spans="2:6" ht="15.75" customHeight="1" x14ac:dyDescent="0.35">
      <c r="F416" s="8"/>
    </row>
    <row r="417" spans="6:6" ht="15.75" customHeight="1" x14ac:dyDescent="0.35">
      <c r="F417" s="8"/>
    </row>
    <row r="418" spans="6:6" ht="15.75" customHeight="1" x14ac:dyDescent="0.35">
      <c r="F418" s="8"/>
    </row>
    <row r="419" spans="6:6" ht="15.75" customHeight="1" x14ac:dyDescent="0.35">
      <c r="F419" s="8"/>
    </row>
    <row r="420" spans="6:6" ht="15.75" customHeight="1" x14ac:dyDescent="0.35">
      <c r="F420" s="8"/>
    </row>
    <row r="421" spans="6:6" ht="15.75" customHeight="1" x14ac:dyDescent="0.35">
      <c r="F421" s="8"/>
    </row>
    <row r="422" spans="6:6" ht="15.75" customHeight="1" x14ac:dyDescent="0.35">
      <c r="F422" s="8"/>
    </row>
    <row r="423" spans="6:6" ht="15.75" customHeight="1" x14ac:dyDescent="0.35">
      <c r="F423" s="8"/>
    </row>
    <row r="424" spans="6:6" ht="15.75" customHeight="1" x14ac:dyDescent="0.35">
      <c r="F424" s="8"/>
    </row>
    <row r="425" spans="6:6" ht="15.75" customHeight="1" x14ac:dyDescent="0.35">
      <c r="F425" s="8"/>
    </row>
    <row r="426" spans="6:6" ht="15.75" customHeight="1" x14ac:dyDescent="0.35">
      <c r="F426" s="8"/>
    </row>
    <row r="427" spans="6:6" ht="15.75" customHeight="1" x14ac:dyDescent="0.35">
      <c r="F427" s="8"/>
    </row>
    <row r="428" spans="6:6" ht="15.75" customHeight="1" x14ac:dyDescent="0.35">
      <c r="F428" s="8"/>
    </row>
    <row r="429" spans="6:6" ht="15.75" customHeight="1" x14ac:dyDescent="0.35">
      <c r="F429" s="8"/>
    </row>
    <row r="430" spans="6:6" ht="15.75" customHeight="1" x14ac:dyDescent="0.35">
      <c r="F430" s="8"/>
    </row>
    <row r="431" spans="6:6" ht="15.75" customHeight="1" x14ac:dyDescent="0.35">
      <c r="F431" s="8"/>
    </row>
    <row r="432" spans="6:6" ht="15.75" customHeight="1" x14ac:dyDescent="0.35">
      <c r="F432" s="8"/>
    </row>
    <row r="433" spans="6:6" ht="15.75" customHeight="1" x14ac:dyDescent="0.35">
      <c r="F433" s="8"/>
    </row>
    <row r="434" spans="6:6" ht="15.75" customHeight="1" x14ac:dyDescent="0.35">
      <c r="F434" s="8"/>
    </row>
    <row r="435" spans="6:6" ht="15.75" customHeight="1" x14ac:dyDescent="0.35">
      <c r="F435" s="8"/>
    </row>
    <row r="436" spans="6:6" ht="15.75" customHeight="1" x14ac:dyDescent="0.35">
      <c r="F436" s="8"/>
    </row>
    <row r="437" spans="6:6" ht="15.75" customHeight="1" x14ac:dyDescent="0.35">
      <c r="F437" s="8"/>
    </row>
    <row r="438" spans="6:6" ht="15.75" customHeight="1" x14ac:dyDescent="0.35">
      <c r="F438" s="8"/>
    </row>
    <row r="439" spans="6:6" ht="15.75" customHeight="1" x14ac:dyDescent="0.35">
      <c r="F439" s="8"/>
    </row>
    <row r="440" spans="6:6" ht="15.75" customHeight="1" x14ac:dyDescent="0.35">
      <c r="F440" s="8"/>
    </row>
    <row r="441" spans="6:6" ht="15.75" customHeight="1" x14ac:dyDescent="0.35">
      <c r="F441" s="8"/>
    </row>
    <row r="442" spans="6:6" ht="15.75" customHeight="1" x14ac:dyDescent="0.35">
      <c r="F442" s="8"/>
    </row>
    <row r="443" spans="6:6" ht="15.75" customHeight="1" x14ac:dyDescent="0.35">
      <c r="F443" s="8"/>
    </row>
    <row r="444" spans="6:6" ht="15.75" customHeight="1" x14ac:dyDescent="0.35">
      <c r="F444" s="8"/>
    </row>
    <row r="445" spans="6:6" ht="15.75" customHeight="1" x14ac:dyDescent="0.35">
      <c r="F445" s="8"/>
    </row>
    <row r="446" spans="6:6" ht="15.75" customHeight="1" x14ac:dyDescent="0.35">
      <c r="F446" s="8"/>
    </row>
    <row r="447" spans="6:6" ht="15.75" customHeight="1" x14ac:dyDescent="0.35">
      <c r="F447" s="8"/>
    </row>
    <row r="448" spans="6:6" ht="15.75" customHeight="1" x14ac:dyDescent="0.35">
      <c r="F448" s="8"/>
    </row>
    <row r="449" spans="6:6" ht="15.75" customHeight="1" x14ac:dyDescent="0.35">
      <c r="F449" s="8"/>
    </row>
    <row r="450" spans="6:6" ht="15.75" customHeight="1" x14ac:dyDescent="0.35">
      <c r="F450" s="8"/>
    </row>
    <row r="451" spans="6:6" ht="15.75" customHeight="1" x14ac:dyDescent="0.35">
      <c r="F451" s="8"/>
    </row>
    <row r="452" spans="6:6" ht="15.75" customHeight="1" x14ac:dyDescent="0.35">
      <c r="F452" s="8"/>
    </row>
    <row r="453" spans="6:6" ht="15.75" customHeight="1" x14ac:dyDescent="0.35">
      <c r="F453" s="8"/>
    </row>
    <row r="454" spans="6:6" ht="15.75" customHeight="1" x14ac:dyDescent="0.35">
      <c r="F454" s="8"/>
    </row>
    <row r="455" spans="6:6" ht="15.75" customHeight="1" x14ac:dyDescent="0.35">
      <c r="F455" s="8"/>
    </row>
    <row r="456" spans="6:6" ht="15.75" customHeight="1" x14ac:dyDescent="0.35">
      <c r="F456" s="8"/>
    </row>
    <row r="457" spans="6:6" ht="15.75" customHeight="1" x14ac:dyDescent="0.35">
      <c r="F457" s="8"/>
    </row>
    <row r="458" spans="6:6" ht="15.75" customHeight="1" x14ac:dyDescent="0.35">
      <c r="F458" s="8"/>
    </row>
    <row r="459" spans="6:6" ht="15.75" customHeight="1" x14ac:dyDescent="0.35">
      <c r="F459" s="8"/>
    </row>
    <row r="460" spans="6:6" ht="15.75" customHeight="1" x14ac:dyDescent="0.35">
      <c r="F460" s="8"/>
    </row>
    <row r="461" spans="6:6" ht="15.75" customHeight="1" x14ac:dyDescent="0.35">
      <c r="F461" s="8"/>
    </row>
    <row r="462" spans="6:6" ht="15.75" customHeight="1" x14ac:dyDescent="0.35">
      <c r="F462" s="8"/>
    </row>
    <row r="463" spans="6:6" ht="15.75" customHeight="1" x14ac:dyDescent="0.35">
      <c r="F463" s="8"/>
    </row>
    <row r="464" spans="6:6" ht="15.75" customHeight="1" x14ac:dyDescent="0.35">
      <c r="F464" s="8"/>
    </row>
    <row r="465" spans="6:6" ht="15.75" customHeight="1" x14ac:dyDescent="0.35">
      <c r="F465" s="8"/>
    </row>
    <row r="466" spans="6:6" ht="15.75" customHeight="1" x14ac:dyDescent="0.35">
      <c r="F466" s="8"/>
    </row>
    <row r="467" spans="6:6" ht="15.75" customHeight="1" x14ac:dyDescent="0.35">
      <c r="F467" s="8"/>
    </row>
    <row r="468" spans="6:6" ht="15.75" customHeight="1" x14ac:dyDescent="0.35">
      <c r="F468" s="8"/>
    </row>
    <row r="469" spans="6:6" ht="15.75" customHeight="1" x14ac:dyDescent="0.35">
      <c r="F469" s="8"/>
    </row>
    <row r="470" spans="6:6" ht="15.75" customHeight="1" x14ac:dyDescent="0.35">
      <c r="F470" s="8"/>
    </row>
    <row r="471" spans="6:6" ht="15.75" customHeight="1" x14ac:dyDescent="0.35">
      <c r="F471" s="8"/>
    </row>
    <row r="472" spans="6:6" ht="15.75" customHeight="1" x14ac:dyDescent="0.35">
      <c r="F472" s="8"/>
    </row>
    <row r="473" spans="6:6" ht="15.75" customHeight="1" x14ac:dyDescent="0.35">
      <c r="F473" s="8"/>
    </row>
    <row r="474" spans="6:6" ht="15.75" customHeight="1" x14ac:dyDescent="0.35">
      <c r="F474" s="8"/>
    </row>
    <row r="475" spans="6:6" ht="15.75" customHeight="1" x14ac:dyDescent="0.35">
      <c r="F475" s="8"/>
    </row>
    <row r="476" spans="6:6" ht="15.75" customHeight="1" x14ac:dyDescent="0.35">
      <c r="F476" s="8"/>
    </row>
    <row r="477" spans="6:6" ht="15.75" customHeight="1" x14ac:dyDescent="0.35">
      <c r="F477" s="8"/>
    </row>
    <row r="478" spans="6:6" ht="15.75" customHeight="1" x14ac:dyDescent="0.35">
      <c r="F478" s="8"/>
    </row>
    <row r="479" spans="6:6" ht="15.75" customHeight="1" x14ac:dyDescent="0.35">
      <c r="F479" s="8"/>
    </row>
    <row r="480" spans="6:6" ht="15.75" customHeight="1" x14ac:dyDescent="0.35">
      <c r="F480" s="8"/>
    </row>
    <row r="481" spans="6:6" ht="15.75" customHeight="1" x14ac:dyDescent="0.35">
      <c r="F481" s="8"/>
    </row>
    <row r="482" spans="6:6" ht="15.75" customHeight="1" x14ac:dyDescent="0.35">
      <c r="F482" s="8"/>
    </row>
    <row r="483" spans="6:6" ht="15.75" customHeight="1" x14ac:dyDescent="0.35">
      <c r="F483" s="8"/>
    </row>
    <row r="484" spans="6:6" ht="15.75" customHeight="1" x14ac:dyDescent="0.35">
      <c r="F484" s="8"/>
    </row>
    <row r="485" spans="6:6" ht="15.75" customHeight="1" x14ac:dyDescent="0.35">
      <c r="F485" s="8"/>
    </row>
    <row r="486" spans="6:6" ht="15.75" customHeight="1" x14ac:dyDescent="0.35">
      <c r="F486" s="8"/>
    </row>
    <row r="487" spans="6:6" ht="15.75" customHeight="1" x14ac:dyDescent="0.35">
      <c r="F487" s="8"/>
    </row>
    <row r="488" spans="6:6" ht="15.75" customHeight="1" x14ac:dyDescent="0.35">
      <c r="F488" s="8"/>
    </row>
    <row r="489" spans="6:6" ht="15.75" customHeight="1" x14ac:dyDescent="0.35">
      <c r="F489" s="8"/>
    </row>
    <row r="490" spans="6:6" ht="15.75" customHeight="1" x14ac:dyDescent="0.35">
      <c r="F490" s="8"/>
    </row>
    <row r="491" spans="6:6" ht="15.75" customHeight="1" x14ac:dyDescent="0.35">
      <c r="F491" s="8"/>
    </row>
    <row r="492" spans="6:6" ht="15.75" customHeight="1" x14ac:dyDescent="0.35">
      <c r="F492" s="8"/>
    </row>
    <row r="493" spans="6:6" ht="15.75" customHeight="1" x14ac:dyDescent="0.35">
      <c r="F493" s="8"/>
    </row>
    <row r="494" spans="6:6" ht="15.75" customHeight="1" x14ac:dyDescent="0.35">
      <c r="F494" s="8"/>
    </row>
    <row r="495" spans="6:6" ht="15.75" customHeight="1" x14ac:dyDescent="0.35">
      <c r="F495" s="8"/>
    </row>
    <row r="496" spans="6:6" ht="15.75" customHeight="1" x14ac:dyDescent="0.35">
      <c r="F496" s="8"/>
    </row>
    <row r="497" spans="6:6" ht="15.75" customHeight="1" x14ac:dyDescent="0.35">
      <c r="F497" s="8"/>
    </row>
    <row r="498" spans="6:6" ht="15.75" customHeight="1" x14ac:dyDescent="0.35">
      <c r="F498" s="8"/>
    </row>
    <row r="499" spans="6:6" ht="15.75" customHeight="1" x14ac:dyDescent="0.35">
      <c r="F499" s="8"/>
    </row>
    <row r="500" spans="6:6" ht="15.75" customHeight="1" x14ac:dyDescent="0.35">
      <c r="F500" s="8"/>
    </row>
    <row r="501" spans="6:6" ht="15.75" customHeight="1" x14ac:dyDescent="0.35">
      <c r="F501" s="8"/>
    </row>
    <row r="502" spans="6:6" ht="15.75" customHeight="1" x14ac:dyDescent="0.35">
      <c r="F502" s="8"/>
    </row>
    <row r="503" spans="6:6" ht="15.75" customHeight="1" x14ac:dyDescent="0.35">
      <c r="F503" s="8"/>
    </row>
    <row r="504" spans="6:6" ht="15.75" customHeight="1" x14ac:dyDescent="0.35">
      <c r="F504" s="8"/>
    </row>
    <row r="505" spans="6:6" ht="15.75" customHeight="1" x14ac:dyDescent="0.35">
      <c r="F505" s="8"/>
    </row>
    <row r="506" spans="6:6" ht="15.75" customHeight="1" x14ac:dyDescent="0.35">
      <c r="F506" s="8"/>
    </row>
    <row r="507" spans="6:6" ht="15.75" customHeight="1" x14ac:dyDescent="0.35">
      <c r="F507" s="8"/>
    </row>
    <row r="508" spans="6:6" ht="15.75" customHeight="1" x14ac:dyDescent="0.35">
      <c r="F508" s="8"/>
    </row>
    <row r="509" spans="6:6" ht="15.75" customHeight="1" x14ac:dyDescent="0.35">
      <c r="F509" s="8"/>
    </row>
    <row r="510" spans="6:6" ht="15.75" customHeight="1" x14ac:dyDescent="0.35">
      <c r="F510" s="8"/>
    </row>
    <row r="511" spans="6:6" ht="15.75" customHeight="1" x14ac:dyDescent="0.35">
      <c r="F511" s="8"/>
    </row>
    <row r="512" spans="6:6" ht="15.75" customHeight="1" x14ac:dyDescent="0.35">
      <c r="F512" s="8"/>
    </row>
    <row r="513" spans="6:6" ht="15.75" customHeight="1" x14ac:dyDescent="0.35">
      <c r="F513" s="8"/>
    </row>
    <row r="514" spans="6:6" ht="15.75" customHeight="1" x14ac:dyDescent="0.35">
      <c r="F514" s="8"/>
    </row>
    <row r="515" spans="6:6" ht="15.75" customHeight="1" x14ac:dyDescent="0.35">
      <c r="F515" s="8"/>
    </row>
    <row r="516" spans="6:6" ht="15.75" customHeight="1" x14ac:dyDescent="0.35">
      <c r="F516" s="8"/>
    </row>
    <row r="517" spans="6:6" ht="15.75" customHeight="1" x14ac:dyDescent="0.35">
      <c r="F517" s="8"/>
    </row>
    <row r="518" spans="6:6" ht="15.75" customHeight="1" x14ac:dyDescent="0.35">
      <c r="F518" s="8"/>
    </row>
    <row r="519" spans="6:6" ht="15.75" customHeight="1" x14ac:dyDescent="0.35">
      <c r="F519" s="8"/>
    </row>
    <row r="520" spans="6:6" ht="15.75" customHeight="1" x14ac:dyDescent="0.35">
      <c r="F520" s="8"/>
    </row>
    <row r="521" spans="6:6" ht="15.75" customHeight="1" x14ac:dyDescent="0.35">
      <c r="F521" s="8"/>
    </row>
    <row r="522" spans="6:6" ht="15.75" customHeight="1" x14ac:dyDescent="0.35">
      <c r="F522" s="8"/>
    </row>
    <row r="523" spans="6:6" ht="15.75" customHeight="1" x14ac:dyDescent="0.35">
      <c r="F523" s="8"/>
    </row>
    <row r="524" spans="6:6" ht="15.75" customHeight="1" x14ac:dyDescent="0.35">
      <c r="F524" s="8"/>
    </row>
    <row r="525" spans="6:6" ht="15.75" customHeight="1" x14ac:dyDescent="0.35">
      <c r="F525" s="8"/>
    </row>
    <row r="526" spans="6:6" ht="15.75" customHeight="1" x14ac:dyDescent="0.35">
      <c r="F526" s="8"/>
    </row>
    <row r="527" spans="6:6" ht="15.75" customHeight="1" x14ac:dyDescent="0.35">
      <c r="F527" s="8"/>
    </row>
    <row r="528" spans="6:6" ht="15.75" customHeight="1" x14ac:dyDescent="0.35">
      <c r="F528" s="8"/>
    </row>
    <row r="529" spans="6:6" ht="15.75" customHeight="1" x14ac:dyDescent="0.35">
      <c r="F529" s="8"/>
    </row>
    <row r="530" spans="6:6" ht="15.75" customHeight="1" x14ac:dyDescent="0.35">
      <c r="F530" s="8"/>
    </row>
    <row r="531" spans="6:6" ht="15.75" customHeight="1" x14ac:dyDescent="0.35">
      <c r="F531" s="8"/>
    </row>
    <row r="532" spans="6:6" ht="15.75" customHeight="1" x14ac:dyDescent="0.35">
      <c r="F532" s="8"/>
    </row>
    <row r="533" spans="6:6" ht="15.75" customHeight="1" x14ac:dyDescent="0.35">
      <c r="F533" s="8"/>
    </row>
    <row r="534" spans="6:6" ht="15.75" customHeight="1" x14ac:dyDescent="0.35">
      <c r="F534" s="8"/>
    </row>
    <row r="535" spans="6:6" ht="15.75" customHeight="1" x14ac:dyDescent="0.35">
      <c r="F535" s="8"/>
    </row>
    <row r="536" spans="6:6" ht="15.75" customHeight="1" x14ac:dyDescent="0.35">
      <c r="F536" s="8"/>
    </row>
    <row r="537" spans="6:6" ht="15.75" customHeight="1" x14ac:dyDescent="0.35">
      <c r="F537" s="8"/>
    </row>
    <row r="538" spans="6:6" ht="15.75" customHeight="1" x14ac:dyDescent="0.35">
      <c r="F538" s="8"/>
    </row>
    <row r="539" spans="6:6" ht="15.75" customHeight="1" x14ac:dyDescent="0.35">
      <c r="F539" s="8"/>
    </row>
    <row r="540" spans="6:6" ht="15.75" customHeight="1" x14ac:dyDescent="0.35">
      <c r="F540" s="8"/>
    </row>
    <row r="541" spans="6:6" ht="15.75" customHeight="1" x14ac:dyDescent="0.35">
      <c r="F541" s="8"/>
    </row>
    <row r="542" spans="6:6" ht="15.75" customHeight="1" x14ac:dyDescent="0.35">
      <c r="F542" s="8"/>
    </row>
    <row r="543" spans="6:6" ht="15.75" customHeight="1" x14ac:dyDescent="0.35">
      <c r="F543" s="8"/>
    </row>
    <row r="544" spans="6:6" ht="15.75" customHeight="1" x14ac:dyDescent="0.35">
      <c r="F544" s="8"/>
    </row>
    <row r="545" spans="6:6" ht="15.75" customHeight="1" x14ac:dyDescent="0.35">
      <c r="F545" s="8"/>
    </row>
    <row r="546" spans="6:6" ht="15.75" customHeight="1" x14ac:dyDescent="0.35">
      <c r="F546" s="8"/>
    </row>
    <row r="547" spans="6:6" ht="15.75" customHeight="1" x14ac:dyDescent="0.35">
      <c r="F547" s="8"/>
    </row>
    <row r="548" spans="6:6" ht="15.75" customHeight="1" x14ac:dyDescent="0.35">
      <c r="F548" s="8"/>
    </row>
    <row r="549" spans="6:6" ht="15.75" customHeight="1" x14ac:dyDescent="0.35">
      <c r="F549" s="8"/>
    </row>
    <row r="550" spans="6:6" ht="15.75" customHeight="1" x14ac:dyDescent="0.35">
      <c r="F550" s="8"/>
    </row>
    <row r="551" spans="6:6" ht="15.75" customHeight="1" x14ac:dyDescent="0.35">
      <c r="F551" s="8"/>
    </row>
    <row r="552" spans="6:6" ht="15.75" customHeight="1" x14ac:dyDescent="0.35">
      <c r="F552" s="8"/>
    </row>
    <row r="553" spans="6:6" ht="15.75" customHeight="1" x14ac:dyDescent="0.35">
      <c r="F553" s="8"/>
    </row>
    <row r="554" spans="6:6" ht="15.75" customHeight="1" x14ac:dyDescent="0.35">
      <c r="F554" s="8"/>
    </row>
    <row r="555" spans="6:6" ht="15.75" customHeight="1" x14ac:dyDescent="0.35">
      <c r="F555" s="8"/>
    </row>
    <row r="556" spans="6:6" ht="15.75" customHeight="1" x14ac:dyDescent="0.35">
      <c r="F556" s="8"/>
    </row>
    <row r="557" spans="6:6" ht="15.75" customHeight="1" x14ac:dyDescent="0.35">
      <c r="F557" s="8"/>
    </row>
    <row r="558" spans="6:6" ht="15.75" customHeight="1" x14ac:dyDescent="0.35">
      <c r="F558" s="8"/>
    </row>
    <row r="559" spans="6:6" ht="15.75" customHeight="1" x14ac:dyDescent="0.35">
      <c r="F559" s="8"/>
    </row>
    <row r="560" spans="6:6" ht="15.75" customHeight="1" x14ac:dyDescent="0.35">
      <c r="F560" s="8"/>
    </row>
    <row r="561" spans="6:6" ht="15.75" customHeight="1" x14ac:dyDescent="0.35">
      <c r="F561" s="8"/>
    </row>
    <row r="562" spans="6:6" ht="15.75" customHeight="1" x14ac:dyDescent="0.35">
      <c r="F562" s="8"/>
    </row>
    <row r="563" spans="6:6" ht="15.75" customHeight="1" x14ac:dyDescent="0.35">
      <c r="F563" s="8"/>
    </row>
    <row r="564" spans="6:6" ht="15.75" customHeight="1" x14ac:dyDescent="0.35">
      <c r="F564" s="8"/>
    </row>
    <row r="565" spans="6:6" ht="15.75" customHeight="1" x14ac:dyDescent="0.35">
      <c r="F565" s="8"/>
    </row>
    <row r="566" spans="6:6" ht="15.75" customHeight="1" x14ac:dyDescent="0.35">
      <c r="F566" s="8"/>
    </row>
    <row r="567" spans="6:6" ht="15.75" customHeight="1" x14ac:dyDescent="0.35">
      <c r="F567" s="8"/>
    </row>
    <row r="568" spans="6:6" ht="15.75" customHeight="1" x14ac:dyDescent="0.35">
      <c r="F568" s="8"/>
    </row>
    <row r="569" spans="6:6" ht="15.75" customHeight="1" x14ac:dyDescent="0.35">
      <c r="F569" s="8"/>
    </row>
    <row r="570" spans="6:6" ht="15.75" customHeight="1" x14ac:dyDescent="0.35">
      <c r="F570" s="8"/>
    </row>
    <row r="571" spans="6:6" ht="15.75" customHeight="1" x14ac:dyDescent="0.35">
      <c r="F571" s="8"/>
    </row>
    <row r="572" spans="6:6" ht="15.75" customHeight="1" x14ac:dyDescent="0.35">
      <c r="F572" s="8"/>
    </row>
    <row r="573" spans="6:6" ht="15.75" customHeight="1" x14ac:dyDescent="0.35">
      <c r="F573" s="8"/>
    </row>
    <row r="574" spans="6:6" ht="15.75" customHeight="1" x14ac:dyDescent="0.35">
      <c r="F574" s="8"/>
    </row>
    <row r="575" spans="6:6" ht="15.75" customHeight="1" x14ac:dyDescent="0.35">
      <c r="F575" s="8"/>
    </row>
    <row r="576" spans="6:6" ht="15.75" customHeight="1" x14ac:dyDescent="0.35">
      <c r="F576" s="8"/>
    </row>
    <row r="577" spans="6:6" ht="15.75" customHeight="1" x14ac:dyDescent="0.35">
      <c r="F577" s="8"/>
    </row>
    <row r="578" spans="6:6" ht="15.75" customHeight="1" x14ac:dyDescent="0.35">
      <c r="F578" s="8"/>
    </row>
    <row r="579" spans="6:6" ht="15.75" customHeight="1" x14ac:dyDescent="0.35">
      <c r="F579" s="8"/>
    </row>
    <row r="580" spans="6:6" ht="15.75" customHeight="1" x14ac:dyDescent="0.35">
      <c r="F580" s="8"/>
    </row>
    <row r="581" spans="6:6" ht="15.75" customHeight="1" x14ac:dyDescent="0.35">
      <c r="F581" s="8"/>
    </row>
    <row r="582" spans="6:6" ht="15.75" customHeight="1" x14ac:dyDescent="0.35">
      <c r="F582" s="8"/>
    </row>
    <row r="583" spans="6:6" ht="15.75" customHeight="1" x14ac:dyDescent="0.35">
      <c r="F583" s="8"/>
    </row>
    <row r="584" spans="6:6" ht="15.75" customHeight="1" x14ac:dyDescent="0.35">
      <c r="F584" s="8"/>
    </row>
    <row r="585" spans="6:6" ht="15.75" customHeight="1" x14ac:dyDescent="0.35">
      <c r="F585" s="8"/>
    </row>
    <row r="586" spans="6:6" ht="15.75" customHeight="1" x14ac:dyDescent="0.35">
      <c r="F586" s="8"/>
    </row>
    <row r="587" spans="6:6" ht="15.75" customHeight="1" x14ac:dyDescent="0.35">
      <c r="F587" s="8"/>
    </row>
    <row r="588" spans="6:6" ht="15.75" customHeight="1" x14ac:dyDescent="0.35">
      <c r="F588" s="8"/>
    </row>
    <row r="589" spans="6:6" ht="15.75" customHeight="1" x14ac:dyDescent="0.35">
      <c r="F589" s="8"/>
    </row>
    <row r="590" spans="6:6" ht="15.75" customHeight="1" x14ac:dyDescent="0.35">
      <c r="F590" s="8"/>
    </row>
    <row r="591" spans="6:6" ht="15.75" customHeight="1" x14ac:dyDescent="0.35">
      <c r="F591" s="8"/>
    </row>
    <row r="592" spans="6:6" ht="15.75" customHeight="1" x14ac:dyDescent="0.35">
      <c r="F592" s="8"/>
    </row>
    <row r="593" spans="6:6" ht="15.75" customHeight="1" x14ac:dyDescent="0.35">
      <c r="F593" s="8"/>
    </row>
    <row r="594" spans="6:6" ht="15.75" customHeight="1" x14ac:dyDescent="0.35">
      <c r="F594" s="8"/>
    </row>
    <row r="595" spans="6:6" ht="15.75" customHeight="1" x14ac:dyDescent="0.35">
      <c r="F595" s="8"/>
    </row>
    <row r="596" spans="6:6" ht="15.75" customHeight="1" x14ac:dyDescent="0.35">
      <c r="F596" s="8"/>
    </row>
    <row r="597" spans="6:6" ht="15.75" customHeight="1" x14ac:dyDescent="0.35">
      <c r="F597" s="8"/>
    </row>
    <row r="598" spans="6:6" ht="15.75" customHeight="1" x14ac:dyDescent="0.35">
      <c r="F598" s="8"/>
    </row>
    <row r="599" spans="6:6" ht="15.75" customHeight="1" x14ac:dyDescent="0.35">
      <c r="F599" s="8"/>
    </row>
    <row r="600" spans="6:6" ht="15.75" customHeight="1" x14ac:dyDescent="0.35">
      <c r="F600" s="8"/>
    </row>
    <row r="601" spans="6:6" ht="15.75" customHeight="1" x14ac:dyDescent="0.35">
      <c r="F601" s="8"/>
    </row>
    <row r="602" spans="6:6" ht="15.75" customHeight="1" x14ac:dyDescent="0.35">
      <c r="F602" s="8"/>
    </row>
    <row r="603" spans="6:6" ht="15.75" customHeight="1" x14ac:dyDescent="0.35">
      <c r="F603" s="8"/>
    </row>
    <row r="604" spans="6:6" ht="15.75" customHeight="1" x14ac:dyDescent="0.35">
      <c r="F604" s="8"/>
    </row>
    <row r="605" spans="6:6" ht="15.75" customHeight="1" x14ac:dyDescent="0.35">
      <c r="F605" s="8"/>
    </row>
    <row r="606" spans="6:6" ht="15.75" customHeight="1" x14ac:dyDescent="0.35">
      <c r="F606" s="8"/>
    </row>
    <row r="607" spans="6:6" ht="15.75" customHeight="1" x14ac:dyDescent="0.35">
      <c r="F607" s="8"/>
    </row>
    <row r="608" spans="6:6" ht="15.75" customHeight="1" x14ac:dyDescent="0.35">
      <c r="F608" s="8"/>
    </row>
    <row r="609" spans="6:6" ht="15.75" customHeight="1" x14ac:dyDescent="0.35">
      <c r="F609" s="8"/>
    </row>
    <row r="610" spans="6:6" ht="15.75" customHeight="1" x14ac:dyDescent="0.35">
      <c r="F610" s="8"/>
    </row>
    <row r="611" spans="6:6" ht="15.75" customHeight="1" x14ac:dyDescent="0.35">
      <c r="F611" s="8"/>
    </row>
    <row r="612" spans="6:6" ht="15.75" customHeight="1" x14ac:dyDescent="0.35">
      <c r="F612" s="8"/>
    </row>
    <row r="613" spans="6:6" ht="15.75" customHeight="1" x14ac:dyDescent="0.35">
      <c r="F613" s="8"/>
    </row>
    <row r="614" spans="6:6" ht="15.75" customHeight="1" x14ac:dyDescent="0.35">
      <c r="F614" s="8"/>
    </row>
    <row r="615" spans="6:6" ht="15.75" customHeight="1" x14ac:dyDescent="0.35">
      <c r="F615" s="8"/>
    </row>
    <row r="616" spans="6:6" ht="15.75" customHeight="1" x14ac:dyDescent="0.35">
      <c r="F616" s="8"/>
    </row>
    <row r="617" spans="6:6" ht="15.75" customHeight="1" x14ac:dyDescent="0.35">
      <c r="F617" s="8"/>
    </row>
    <row r="618" spans="6:6" ht="15.75" customHeight="1" x14ac:dyDescent="0.35">
      <c r="F618" s="8"/>
    </row>
    <row r="619" spans="6:6" ht="15.75" customHeight="1" x14ac:dyDescent="0.35">
      <c r="F619" s="8"/>
    </row>
    <row r="620" spans="6:6" ht="15.75" customHeight="1" x14ac:dyDescent="0.35">
      <c r="F620" s="8"/>
    </row>
    <row r="621" spans="6:6" ht="15.75" customHeight="1" x14ac:dyDescent="0.35">
      <c r="F621" s="8"/>
    </row>
    <row r="622" spans="6:6" ht="15.75" customHeight="1" x14ac:dyDescent="0.35">
      <c r="F622" s="8"/>
    </row>
    <row r="623" spans="6:6" ht="15.75" customHeight="1" x14ac:dyDescent="0.35">
      <c r="F623" s="8"/>
    </row>
    <row r="624" spans="6:6" ht="15.75" customHeight="1" x14ac:dyDescent="0.35">
      <c r="F624" s="8"/>
    </row>
    <row r="625" spans="6:6" ht="15.75" customHeight="1" x14ac:dyDescent="0.35">
      <c r="F625" s="8"/>
    </row>
    <row r="626" spans="6:6" ht="15.75" customHeight="1" x14ac:dyDescent="0.35">
      <c r="F626" s="8"/>
    </row>
    <row r="627" spans="6:6" ht="15.75" customHeight="1" x14ac:dyDescent="0.35">
      <c r="F627" s="8"/>
    </row>
    <row r="628" spans="6:6" ht="15.75" customHeight="1" x14ac:dyDescent="0.35">
      <c r="F628" s="8"/>
    </row>
    <row r="629" spans="6:6" ht="15.75" customHeight="1" x14ac:dyDescent="0.35">
      <c r="F629" s="8"/>
    </row>
    <row r="630" spans="6:6" ht="15.75" customHeight="1" x14ac:dyDescent="0.35">
      <c r="F630" s="8"/>
    </row>
    <row r="631" spans="6:6" ht="15.75" customHeight="1" x14ac:dyDescent="0.35">
      <c r="F631" s="8"/>
    </row>
    <row r="632" spans="6:6" ht="15.75" customHeight="1" x14ac:dyDescent="0.35">
      <c r="F632" s="8"/>
    </row>
    <row r="633" spans="6:6" ht="15.75" customHeight="1" x14ac:dyDescent="0.35">
      <c r="F633" s="8"/>
    </row>
    <row r="634" spans="6:6" ht="15.75" customHeight="1" x14ac:dyDescent="0.35">
      <c r="F634" s="8"/>
    </row>
    <row r="635" spans="6:6" ht="15.75" customHeight="1" x14ac:dyDescent="0.35">
      <c r="F635" s="8"/>
    </row>
    <row r="636" spans="6:6" ht="15.75" customHeight="1" x14ac:dyDescent="0.35">
      <c r="F636" s="8"/>
    </row>
    <row r="637" spans="6:6" ht="15.75" customHeight="1" x14ac:dyDescent="0.35">
      <c r="F637" s="8"/>
    </row>
    <row r="638" spans="6:6" ht="15.75" customHeight="1" x14ac:dyDescent="0.35">
      <c r="F638" s="8"/>
    </row>
    <row r="639" spans="6:6" ht="15.75" customHeight="1" x14ac:dyDescent="0.35">
      <c r="F639" s="8"/>
    </row>
    <row r="640" spans="6:6" ht="15.75" customHeight="1" x14ac:dyDescent="0.35">
      <c r="F640" s="8"/>
    </row>
    <row r="641" spans="6:6" ht="15.75" customHeight="1" x14ac:dyDescent="0.35">
      <c r="F641" s="8"/>
    </row>
    <row r="642" spans="6:6" ht="15.75" customHeight="1" x14ac:dyDescent="0.35">
      <c r="F642" s="8"/>
    </row>
    <row r="643" spans="6:6" ht="15.75" customHeight="1" x14ac:dyDescent="0.35">
      <c r="F643" s="8"/>
    </row>
    <row r="644" spans="6:6" ht="15.75" customHeight="1" x14ac:dyDescent="0.35">
      <c r="F644" s="8"/>
    </row>
    <row r="645" spans="6:6" ht="15.75" customHeight="1" x14ac:dyDescent="0.35">
      <c r="F645" s="8"/>
    </row>
    <row r="646" spans="6:6" ht="15.75" customHeight="1" x14ac:dyDescent="0.35">
      <c r="F646" s="8"/>
    </row>
    <row r="647" spans="6:6" ht="15.75" customHeight="1" x14ac:dyDescent="0.35">
      <c r="F647" s="8"/>
    </row>
    <row r="648" spans="6:6" ht="15.75" customHeight="1" x14ac:dyDescent="0.35">
      <c r="F648" s="8"/>
    </row>
    <row r="649" spans="6:6" ht="15.75" customHeight="1" x14ac:dyDescent="0.35">
      <c r="F649" s="8"/>
    </row>
    <row r="650" spans="6:6" ht="15.75" customHeight="1" x14ac:dyDescent="0.35">
      <c r="F650" s="8"/>
    </row>
    <row r="651" spans="6:6" ht="15.75" customHeight="1" x14ac:dyDescent="0.35">
      <c r="F651" s="8"/>
    </row>
    <row r="652" spans="6:6" ht="15.75" customHeight="1" x14ac:dyDescent="0.35">
      <c r="F652" s="8"/>
    </row>
    <row r="653" spans="6:6" ht="15.75" customHeight="1" x14ac:dyDescent="0.35">
      <c r="F653" s="8"/>
    </row>
    <row r="654" spans="6:6" ht="15.75" customHeight="1" x14ac:dyDescent="0.35">
      <c r="F654" s="8"/>
    </row>
    <row r="655" spans="6:6" ht="15.75" customHeight="1" x14ac:dyDescent="0.35">
      <c r="F655" s="8"/>
    </row>
    <row r="656" spans="6:6" ht="15.75" customHeight="1" x14ac:dyDescent="0.35">
      <c r="F656" s="8"/>
    </row>
    <row r="657" spans="6:6" ht="15.75" customHeight="1" x14ac:dyDescent="0.35">
      <c r="F657" s="8"/>
    </row>
    <row r="658" spans="6:6" ht="15.75" customHeight="1" x14ac:dyDescent="0.35">
      <c r="F658" s="8"/>
    </row>
    <row r="659" spans="6:6" ht="15.75" customHeight="1" x14ac:dyDescent="0.35">
      <c r="F659" s="8"/>
    </row>
    <row r="660" spans="6:6" ht="15.75" customHeight="1" x14ac:dyDescent="0.35">
      <c r="F660" s="8"/>
    </row>
    <row r="661" spans="6:6" ht="15.75" customHeight="1" x14ac:dyDescent="0.35">
      <c r="F661" s="8"/>
    </row>
    <row r="662" spans="6:6" ht="15.75" customHeight="1" x14ac:dyDescent="0.35">
      <c r="F662" s="8"/>
    </row>
    <row r="663" spans="6:6" ht="15.75" customHeight="1" x14ac:dyDescent="0.35">
      <c r="F663" s="8"/>
    </row>
    <row r="664" spans="6:6" ht="15.75" customHeight="1" x14ac:dyDescent="0.35">
      <c r="F664" s="8"/>
    </row>
    <row r="665" spans="6:6" ht="15.75" customHeight="1" x14ac:dyDescent="0.35">
      <c r="F665" s="8"/>
    </row>
    <row r="666" spans="6:6" ht="15.75" customHeight="1" x14ac:dyDescent="0.35">
      <c r="F666" s="8"/>
    </row>
    <row r="667" spans="6:6" ht="15.75" customHeight="1" x14ac:dyDescent="0.35">
      <c r="F667" s="8"/>
    </row>
    <row r="668" spans="6:6" ht="15.75" customHeight="1" x14ac:dyDescent="0.35">
      <c r="F668" s="8"/>
    </row>
    <row r="669" spans="6:6" ht="15.75" customHeight="1" x14ac:dyDescent="0.35">
      <c r="F669" s="8"/>
    </row>
    <row r="670" spans="6:6" ht="15.75" customHeight="1" x14ac:dyDescent="0.35">
      <c r="F670" s="8"/>
    </row>
    <row r="671" spans="6:6" ht="15.75" customHeight="1" x14ac:dyDescent="0.35">
      <c r="F671" s="8"/>
    </row>
    <row r="672" spans="6:6" ht="15.75" customHeight="1" x14ac:dyDescent="0.35">
      <c r="F672" s="8"/>
    </row>
    <row r="673" spans="6:6" ht="15.75" customHeight="1" x14ac:dyDescent="0.35">
      <c r="F673" s="8"/>
    </row>
    <row r="674" spans="6:6" ht="15.75" customHeight="1" x14ac:dyDescent="0.35">
      <c r="F674" s="8"/>
    </row>
    <row r="675" spans="6:6" ht="15.75" customHeight="1" x14ac:dyDescent="0.35">
      <c r="F675" s="8"/>
    </row>
    <row r="676" spans="6:6" ht="15.75" customHeight="1" x14ac:dyDescent="0.35">
      <c r="F676" s="8"/>
    </row>
    <row r="677" spans="6:6" ht="15.75" customHeight="1" x14ac:dyDescent="0.35">
      <c r="F677" s="8"/>
    </row>
    <row r="678" spans="6:6" ht="15.75" customHeight="1" x14ac:dyDescent="0.35">
      <c r="F678" s="8"/>
    </row>
    <row r="679" spans="6:6" ht="15.75" customHeight="1" x14ac:dyDescent="0.35">
      <c r="F679" s="8"/>
    </row>
    <row r="680" spans="6:6" ht="15.75" customHeight="1" x14ac:dyDescent="0.35">
      <c r="F680" s="8"/>
    </row>
    <row r="681" spans="6:6" ht="15.75" customHeight="1" x14ac:dyDescent="0.35">
      <c r="F681" s="8"/>
    </row>
    <row r="682" spans="6:6" ht="15.75" customHeight="1" x14ac:dyDescent="0.35">
      <c r="F682" s="8"/>
    </row>
    <row r="683" spans="6:6" ht="15.75" customHeight="1" x14ac:dyDescent="0.35">
      <c r="F683" s="8"/>
    </row>
    <row r="684" spans="6:6" ht="15.75" customHeight="1" x14ac:dyDescent="0.35">
      <c r="F684" s="8"/>
    </row>
    <row r="685" spans="6:6" ht="15.75" customHeight="1" x14ac:dyDescent="0.35">
      <c r="F685" s="8"/>
    </row>
    <row r="686" spans="6:6" ht="15.75" customHeight="1" x14ac:dyDescent="0.35">
      <c r="F686" s="8"/>
    </row>
    <row r="687" spans="6:6" ht="15.75" customHeight="1" x14ac:dyDescent="0.35">
      <c r="F687" s="8"/>
    </row>
    <row r="688" spans="6:6" ht="15.75" customHeight="1" x14ac:dyDescent="0.35">
      <c r="F688" s="8"/>
    </row>
    <row r="689" spans="6:6" ht="15.75" customHeight="1" x14ac:dyDescent="0.35">
      <c r="F689" s="8"/>
    </row>
    <row r="690" spans="6:6" ht="15.75" customHeight="1" x14ac:dyDescent="0.35">
      <c r="F690" s="8"/>
    </row>
    <row r="691" spans="6:6" ht="15.75" customHeight="1" x14ac:dyDescent="0.35">
      <c r="F691" s="8"/>
    </row>
    <row r="692" spans="6:6" ht="15.75" customHeight="1" x14ac:dyDescent="0.35">
      <c r="F692" s="8"/>
    </row>
    <row r="693" spans="6:6" ht="15.75" customHeight="1" x14ac:dyDescent="0.35">
      <c r="F693" s="8"/>
    </row>
    <row r="694" spans="6:6" ht="15.75" customHeight="1" x14ac:dyDescent="0.35">
      <c r="F694" s="8"/>
    </row>
    <row r="695" spans="6:6" ht="15.75" customHeight="1" x14ac:dyDescent="0.35">
      <c r="F695" s="8"/>
    </row>
    <row r="696" spans="6:6" ht="15.75" customHeight="1" x14ac:dyDescent="0.35">
      <c r="F696" s="8"/>
    </row>
    <row r="697" spans="6:6" ht="15.75" customHeight="1" x14ac:dyDescent="0.35">
      <c r="F697" s="8"/>
    </row>
    <row r="698" spans="6:6" ht="15.75" customHeight="1" x14ac:dyDescent="0.35">
      <c r="F698" s="8"/>
    </row>
    <row r="699" spans="6:6" ht="15.75" customHeight="1" x14ac:dyDescent="0.35">
      <c r="F699" s="8"/>
    </row>
    <row r="700" spans="6:6" ht="15.75" customHeight="1" x14ac:dyDescent="0.35">
      <c r="F700" s="8"/>
    </row>
    <row r="701" spans="6:6" ht="15.75" customHeight="1" x14ac:dyDescent="0.35">
      <c r="F701" s="8"/>
    </row>
    <row r="702" spans="6:6" ht="15.75" customHeight="1" x14ac:dyDescent="0.35">
      <c r="F702" s="8"/>
    </row>
    <row r="703" spans="6:6" ht="15.75" customHeight="1" x14ac:dyDescent="0.35">
      <c r="F703" s="8"/>
    </row>
    <row r="704" spans="6:6" ht="15.75" customHeight="1" x14ac:dyDescent="0.35">
      <c r="F704" s="8"/>
    </row>
    <row r="705" spans="6:6" ht="15.75" customHeight="1" x14ac:dyDescent="0.35">
      <c r="F705" s="8"/>
    </row>
    <row r="706" spans="6:6" ht="15.75" customHeight="1" x14ac:dyDescent="0.35">
      <c r="F706" s="8"/>
    </row>
    <row r="707" spans="6:6" ht="15.75" customHeight="1" x14ac:dyDescent="0.35">
      <c r="F707" s="8"/>
    </row>
    <row r="708" spans="6:6" ht="15.75" customHeight="1" x14ac:dyDescent="0.35">
      <c r="F708" s="8"/>
    </row>
    <row r="709" spans="6:6" ht="15.75" customHeight="1" x14ac:dyDescent="0.35">
      <c r="F709" s="8"/>
    </row>
    <row r="710" spans="6:6" ht="15.75" customHeight="1" x14ac:dyDescent="0.35">
      <c r="F710" s="8"/>
    </row>
    <row r="711" spans="6:6" ht="15.75" customHeight="1" x14ac:dyDescent="0.35">
      <c r="F711" s="8"/>
    </row>
    <row r="712" spans="6:6" ht="15.75" customHeight="1" x14ac:dyDescent="0.35">
      <c r="F712" s="8"/>
    </row>
    <row r="713" spans="6:6" ht="15.75" customHeight="1" x14ac:dyDescent="0.35">
      <c r="F713" s="8"/>
    </row>
    <row r="714" spans="6:6" ht="15.75" customHeight="1" x14ac:dyDescent="0.35">
      <c r="F714" s="8"/>
    </row>
    <row r="715" spans="6:6" ht="15.75" customHeight="1" x14ac:dyDescent="0.35">
      <c r="F715" s="8"/>
    </row>
    <row r="716" spans="6:6" ht="15.75" customHeight="1" x14ac:dyDescent="0.35">
      <c r="F716" s="8"/>
    </row>
    <row r="717" spans="6:6" ht="15.75" customHeight="1" x14ac:dyDescent="0.35">
      <c r="F717" s="8"/>
    </row>
    <row r="718" spans="6:6" ht="15.75" customHeight="1" x14ac:dyDescent="0.35">
      <c r="F718" s="8"/>
    </row>
    <row r="719" spans="6:6" ht="15.75" customHeight="1" x14ac:dyDescent="0.35">
      <c r="F719" s="8"/>
    </row>
    <row r="720" spans="6:6" ht="15.75" customHeight="1" x14ac:dyDescent="0.35">
      <c r="F720" s="8"/>
    </row>
    <row r="721" spans="6:6" ht="15.75" customHeight="1" x14ac:dyDescent="0.35">
      <c r="F721" s="8"/>
    </row>
    <row r="722" spans="6:6" ht="15.75" customHeight="1" x14ac:dyDescent="0.35">
      <c r="F722" s="8"/>
    </row>
    <row r="723" spans="6:6" ht="15.75" customHeight="1" x14ac:dyDescent="0.35">
      <c r="F723" s="8"/>
    </row>
    <row r="724" spans="6:6" ht="15.75" customHeight="1" x14ac:dyDescent="0.35">
      <c r="F724" s="8"/>
    </row>
    <row r="725" spans="6:6" ht="15.75" customHeight="1" x14ac:dyDescent="0.35">
      <c r="F725" s="8"/>
    </row>
    <row r="726" spans="6:6" ht="15.75" customHeight="1" x14ac:dyDescent="0.35">
      <c r="F726" s="8"/>
    </row>
    <row r="727" spans="6:6" ht="15.75" customHeight="1" x14ac:dyDescent="0.35">
      <c r="F727" s="8"/>
    </row>
    <row r="728" spans="6:6" ht="15.75" customHeight="1" x14ac:dyDescent="0.35">
      <c r="F728" s="8"/>
    </row>
    <row r="729" spans="6:6" ht="15.75" customHeight="1" x14ac:dyDescent="0.35">
      <c r="F729" s="8"/>
    </row>
    <row r="730" spans="6:6" ht="15.75" customHeight="1" x14ac:dyDescent="0.35">
      <c r="F730" s="8"/>
    </row>
    <row r="731" spans="6:6" ht="15.75" customHeight="1" x14ac:dyDescent="0.35">
      <c r="F731" s="8"/>
    </row>
    <row r="732" spans="6:6" ht="15.75" customHeight="1" x14ac:dyDescent="0.35">
      <c r="F732" s="8"/>
    </row>
    <row r="733" spans="6:6" ht="15.75" customHeight="1" x14ac:dyDescent="0.35">
      <c r="F733" s="8"/>
    </row>
    <row r="734" spans="6:6" ht="15.75" customHeight="1" x14ac:dyDescent="0.35">
      <c r="F734" s="8"/>
    </row>
    <row r="735" spans="6:6" ht="15.75" customHeight="1" x14ac:dyDescent="0.35">
      <c r="F735" s="8"/>
    </row>
    <row r="736" spans="6:6" ht="15.75" customHeight="1" x14ac:dyDescent="0.35">
      <c r="F736" s="8"/>
    </row>
    <row r="737" spans="6:6" ht="15.75" customHeight="1" x14ac:dyDescent="0.35">
      <c r="F737" s="8"/>
    </row>
    <row r="738" spans="6:6" ht="15.75" customHeight="1" x14ac:dyDescent="0.35">
      <c r="F738" s="8"/>
    </row>
    <row r="739" spans="6:6" ht="15.75" customHeight="1" x14ac:dyDescent="0.35">
      <c r="F739" s="8"/>
    </row>
    <row r="740" spans="6:6" ht="15.75" customHeight="1" x14ac:dyDescent="0.35">
      <c r="F740" s="8"/>
    </row>
    <row r="741" spans="6:6" ht="15.75" customHeight="1" x14ac:dyDescent="0.35">
      <c r="F741" s="8"/>
    </row>
    <row r="742" spans="6:6" ht="15.75" customHeight="1" x14ac:dyDescent="0.35">
      <c r="F742" s="8"/>
    </row>
    <row r="743" spans="6:6" ht="15.75" customHeight="1" x14ac:dyDescent="0.35">
      <c r="F743" s="8"/>
    </row>
    <row r="744" spans="6:6" ht="15.75" customHeight="1" x14ac:dyDescent="0.35">
      <c r="F744" s="8"/>
    </row>
    <row r="745" spans="6:6" ht="15.75" customHeight="1" x14ac:dyDescent="0.35">
      <c r="F745" s="8"/>
    </row>
    <row r="746" spans="6:6" ht="15.75" customHeight="1" x14ac:dyDescent="0.35">
      <c r="F746" s="8"/>
    </row>
    <row r="747" spans="6:6" ht="15.75" customHeight="1" x14ac:dyDescent="0.35">
      <c r="F747" s="8"/>
    </row>
    <row r="748" spans="6:6" ht="15.75" customHeight="1" x14ac:dyDescent="0.35">
      <c r="F748" s="8"/>
    </row>
    <row r="749" spans="6:6" ht="15.75" customHeight="1" x14ac:dyDescent="0.35">
      <c r="F749" s="8"/>
    </row>
    <row r="750" spans="6:6" ht="15.75" customHeight="1" x14ac:dyDescent="0.35">
      <c r="F750" s="8"/>
    </row>
    <row r="751" spans="6:6" ht="15.75" customHeight="1" x14ac:dyDescent="0.35">
      <c r="F751" s="8"/>
    </row>
    <row r="752" spans="6:6" ht="15.75" customHeight="1" x14ac:dyDescent="0.35">
      <c r="F752" s="8"/>
    </row>
    <row r="753" spans="6:6" ht="15.75" customHeight="1" x14ac:dyDescent="0.35">
      <c r="F753" s="8"/>
    </row>
    <row r="754" spans="6:6" ht="15.75" customHeight="1" x14ac:dyDescent="0.35">
      <c r="F754" s="8"/>
    </row>
    <row r="755" spans="6:6" ht="15.75" customHeight="1" x14ac:dyDescent="0.35">
      <c r="F755" s="8"/>
    </row>
    <row r="756" spans="6:6" ht="15.75" customHeight="1" x14ac:dyDescent="0.35">
      <c r="F756" s="8"/>
    </row>
    <row r="757" spans="6:6" ht="15.75" customHeight="1" x14ac:dyDescent="0.35">
      <c r="F757" s="8"/>
    </row>
    <row r="758" spans="6:6" ht="15.75" customHeight="1" x14ac:dyDescent="0.35">
      <c r="F758" s="8"/>
    </row>
    <row r="759" spans="6:6" ht="15.75" customHeight="1" x14ac:dyDescent="0.35">
      <c r="F759" s="8"/>
    </row>
    <row r="760" spans="6:6" ht="15.75" customHeight="1" x14ac:dyDescent="0.35">
      <c r="F760" s="8"/>
    </row>
    <row r="761" spans="6:6" ht="15.75" customHeight="1" x14ac:dyDescent="0.35">
      <c r="F761" s="8"/>
    </row>
    <row r="762" spans="6:6" ht="15.75" customHeight="1" x14ac:dyDescent="0.35">
      <c r="F762" s="8"/>
    </row>
    <row r="763" spans="6:6" ht="15.75" customHeight="1" x14ac:dyDescent="0.35">
      <c r="F763" s="8"/>
    </row>
    <row r="764" spans="6:6" ht="15.75" customHeight="1" x14ac:dyDescent="0.35">
      <c r="F764" s="8"/>
    </row>
    <row r="765" spans="6:6" ht="15.75" customHeight="1" x14ac:dyDescent="0.35">
      <c r="F765" s="8"/>
    </row>
    <row r="766" spans="6:6" ht="15.75" customHeight="1" x14ac:dyDescent="0.35">
      <c r="F766" s="8"/>
    </row>
    <row r="767" spans="6:6" ht="15.75" customHeight="1" x14ac:dyDescent="0.35">
      <c r="F767" s="8"/>
    </row>
    <row r="768" spans="6:6" ht="15.75" customHeight="1" x14ac:dyDescent="0.35">
      <c r="F768" s="8"/>
    </row>
    <row r="769" spans="6:6" ht="15.75" customHeight="1" x14ac:dyDescent="0.35">
      <c r="F769" s="8"/>
    </row>
    <row r="770" spans="6:6" ht="15.75" customHeight="1" x14ac:dyDescent="0.35">
      <c r="F770" s="8"/>
    </row>
    <row r="771" spans="6:6" ht="15.75" customHeight="1" x14ac:dyDescent="0.35">
      <c r="F771" s="8"/>
    </row>
    <row r="772" spans="6:6" ht="15.75" customHeight="1" x14ac:dyDescent="0.35">
      <c r="F772" s="8"/>
    </row>
    <row r="773" spans="6:6" ht="15.75" customHeight="1" x14ac:dyDescent="0.35">
      <c r="F773" s="8"/>
    </row>
    <row r="774" spans="6:6" ht="15.75" customHeight="1" x14ac:dyDescent="0.35">
      <c r="F774" s="8"/>
    </row>
    <row r="775" spans="6:6" ht="15.75" customHeight="1" x14ac:dyDescent="0.35">
      <c r="F775" s="8"/>
    </row>
    <row r="776" spans="6:6" ht="15.75" customHeight="1" x14ac:dyDescent="0.35">
      <c r="F776" s="8"/>
    </row>
    <row r="777" spans="6:6" ht="15.75" customHeight="1" x14ac:dyDescent="0.35">
      <c r="F777" s="8"/>
    </row>
    <row r="778" spans="6:6" ht="15.75" customHeight="1" x14ac:dyDescent="0.35">
      <c r="F778" s="8"/>
    </row>
    <row r="779" spans="6:6" ht="15.75" customHeight="1" x14ac:dyDescent="0.35">
      <c r="F779" s="8"/>
    </row>
    <row r="780" spans="6:6" ht="15.75" customHeight="1" x14ac:dyDescent="0.35">
      <c r="F780" s="8"/>
    </row>
    <row r="781" spans="6:6" ht="15.75" customHeight="1" x14ac:dyDescent="0.35">
      <c r="F781" s="8"/>
    </row>
    <row r="782" spans="6:6" ht="15.75" customHeight="1" x14ac:dyDescent="0.35">
      <c r="F782" s="8"/>
    </row>
    <row r="783" spans="6:6" ht="15.75" customHeight="1" x14ac:dyDescent="0.35">
      <c r="F783" s="8"/>
    </row>
    <row r="784" spans="6:6" ht="15.75" customHeight="1" x14ac:dyDescent="0.35">
      <c r="F784" s="8"/>
    </row>
    <row r="785" spans="6:6" ht="15.75" customHeight="1" x14ac:dyDescent="0.35">
      <c r="F785" s="8"/>
    </row>
    <row r="786" spans="6:6" ht="15.75" customHeight="1" x14ac:dyDescent="0.35">
      <c r="F786" s="8"/>
    </row>
    <row r="787" spans="6:6" ht="15.75" customHeight="1" x14ac:dyDescent="0.35">
      <c r="F787" s="8"/>
    </row>
    <row r="788" spans="6:6" ht="15.75" customHeight="1" x14ac:dyDescent="0.35">
      <c r="F788" s="8"/>
    </row>
    <row r="789" spans="6:6" ht="15.75" customHeight="1" x14ac:dyDescent="0.35">
      <c r="F789" s="8"/>
    </row>
    <row r="790" spans="6:6" ht="15.75" customHeight="1" x14ac:dyDescent="0.35">
      <c r="F790" s="8"/>
    </row>
    <row r="791" spans="6:6" ht="15.75" customHeight="1" x14ac:dyDescent="0.35">
      <c r="F791" s="8"/>
    </row>
    <row r="792" spans="6:6" ht="15.75" customHeight="1" x14ac:dyDescent="0.35">
      <c r="F792" s="8"/>
    </row>
    <row r="793" spans="6:6" ht="15.75" customHeight="1" x14ac:dyDescent="0.35">
      <c r="F793" s="8"/>
    </row>
    <row r="794" spans="6:6" ht="15.75" customHeight="1" x14ac:dyDescent="0.35">
      <c r="F794" s="8"/>
    </row>
    <row r="795" spans="6:6" ht="15.75" customHeight="1" x14ac:dyDescent="0.35">
      <c r="F795" s="8"/>
    </row>
    <row r="796" spans="6:6" ht="15.75" customHeight="1" x14ac:dyDescent="0.35">
      <c r="F796" s="8"/>
    </row>
    <row r="797" spans="6:6" ht="15.75" customHeight="1" x14ac:dyDescent="0.35">
      <c r="F797" s="8"/>
    </row>
    <row r="798" spans="6:6" ht="15.75" customHeight="1" x14ac:dyDescent="0.35">
      <c r="F798" s="8"/>
    </row>
    <row r="799" spans="6:6" ht="15.75" customHeight="1" x14ac:dyDescent="0.35">
      <c r="F799" s="8"/>
    </row>
    <row r="800" spans="6:6" ht="15.75" customHeight="1" x14ac:dyDescent="0.35">
      <c r="F800" s="8"/>
    </row>
    <row r="801" spans="6:6" ht="15.75" customHeight="1" x14ac:dyDescent="0.35">
      <c r="F801" s="8"/>
    </row>
    <row r="802" spans="6:6" ht="15.75" customHeight="1" x14ac:dyDescent="0.35">
      <c r="F802" s="8"/>
    </row>
    <row r="803" spans="6:6" ht="15.75" customHeight="1" x14ac:dyDescent="0.35">
      <c r="F803" s="8"/>
    </row>
    <row r="804" spans="6:6" ht="15.75" customHeight="1" x14ac:dyDescent="0.35">
      <c r="F804" s="8"/>
    </row>
    <row r="805" spans="6:6" ht="15.75" customHeight="1" x14ac:dyDescent="0.35">
      <c r="F805" s="8"/>
    </row>
    <row r="806" spans="6:6" ht="15.75" customHeight="1" x14ac:dyDescent="0.35">
      <c r="F806" s="8"/>
    </row>
    <row r="807" spans="6:6" ht="15.75" customHeight="1" x14ac:dyDescent="0.35">
      <c r="F807" s="8"/>
    </row>
    <row r="808" spans="6:6" ht="15.75" customHeight="1" x14ac:dyDescent="0.35">
      <c r="F808" s="8"/>
    </row>
    <row r="809" spans="6:6" ht="15.75" customHeight="1" x14ac:dyDescent="0.35">
      <c r="F809" s="8"/>
    </row>
    <row r="810" spans="6:6" ht="15.75" customHeight="1" x14ac:dyDescent="0.35">
      <c r="F810" s="8"/>
    </row>
    <row r="811" spans="6:6" ht="15.75" customHeight="1" x14ac:dyDescent="0.35">
      <c r="F811" s="8"/>
    </row>
    <row r="812" spans="6:6" ht="15.75" customHeight="1" x14ac:dyDescent="0.35">
      <c r="F812" s="8"/>
    </row>
    <row r="813" spans="6:6" ht="15.75" customHeight="1" x14ac:dyDescent="0.35">
      <c r="F813" s="8"/>
    </row>
    <row r="814" spans="6:6" ht="15.75" customHeight="1" x14ac:dyDescent="0.35">
      <c r="F814" s="8"/>
    </row>
    <row r="815" spans="6:6" ht="15.75" customHeight="1" x14ac:dyDescent="0.35">
      <c r="F815" s="8"/>
    </row>
    <row r="816" spans="6:6" ht="15.75" customHeight="1" x14ac:dyDescent="0.35">
      <c r="F816" s="8"/>
    </row>
    <row r="817" spans="6:6" ht="15.75" customHeight="1" x14ac:dyDescent="0.35">
      <c r="F817" s="8"/>
    </row>
    <row r="818" spans="6:6" ht="15.75" customHeight="1" x14ac:dyDescent="0.35">
      <c r="F818" s="8"/>
    </row>
    <row r="819" spans="6:6" ht="15.75" customHeight="1" x14ac:dyDescent="0.35">
      <c r="F819" s="8"/>
    </row>
    <row r="820" spans="6:6" ht="15.75" customHeight="1" x14ac:dyDescent="0.35">
      <c r="F820" s="8"/>
    </row>
    <row r="821" spans="6:6" ht="15.75" customHeight="1" x14ac:dyDescent="0.35">
      <c r="F821" s="8"/>
    </row>
    <row r="822" spans="6:6" ht="15.75" customHeight="1" x14ac:dyDescent="0.35">
      <c r="F822" s="8"/>
    </row>
    <row r="823" spans="6:6" ht="15.75" customHeight="1" x14ac:dyDescent="0.35">
      <c r="F823" s="8"/>
    </row>
    <row r="824" spans="6:6" ht="15.75" customHeight="1" x14ac:dyDescent="0.35">
      <c r="F824" s="8"/>
    </row>
    <row r="825" spans="6:6" ht="15.75" customHeight="1" x14ac:dyDescent="0.35">
      <c r="F825" s="8"/>
    </row>
    <row r="826" spans="6:6" ht="15.75" customHeight="1" x14ac:dyDescent="0.35">
      <c r="F826" s="8"/>
    </row>
    <row r="827" spans="6:6" ht="15.75" customHeight="1" x14ac:dyDescent="0.35">
      <c r="F827" s="8"/>
    </row>
    <row r="828" spans="6:6" ht="15.75" customHeight="1" x14ac:dyDescent="0.35">
      <c r="F828" s="8"/>
    </row>
    <row r="829" spans="6:6" ht="15.75" customHeight="1" x14ac:dyDescent="0.35">
      <c r="F829" s="8"/>
    </row>
    <row r="830" spans="6:6" ht="15.75" customHeight="1" x14ac:dyDescent="0.35">
      <c r="F830" s="8"/>
    </row>
    <row r="831" spans="6:6" ht="15.75" customHeight="1" x14ac:dyDescent="0.35">
      <c r="F831" s="8"/>
    </row>
    <row r="832" spans="6:6" ht="15.75" customHeight="1" x14ac:dyDescent="0.35">
      <c r="F832" s="8"/>
    </row>
    <row r="833" spans="6:6" ht="15.75" customHeight="1" x14ac:dyDescent="0.35">
      <c r="F833" s="8"/>
    </row>
    <row r="834" spans="6:6" ht="15.75" customHeight="1" x14ac:dyDescent="0.35">
      <c r="F834" s="8"/>
    </row>
    <row r="835" spans="6:6" ht="15.75" customHeight="1" x14ac:dyDescent="0.35">
      <c r="F835" s="8"/>
    </row>
    <row r="836" spans="6:6" ht="15.75" customHeight="1" x14ac:dyDescent="0.35">
      <c r="F836" s="8"/>
    </row>
    <row r="837" spans="6:6" ht="15.75" customHeight="1" x14ac:dyDescent="0.35">
      <c r="F837" s="8"/>
    </row>
    <row r="838" spans="6:6" ht="15.75" customHeight="1" x14ac:dyDescent="0.35">
      <c r="F838" s="8"/>
    </row>
    <row r="839" spans="6:6" ht="15.75" customHeight="1" x14ac:dyDescent="0.35">
      <c r="F839" s="8"/>
    </row>
    <row r="840" spans="6:6" ht="15.75" customHeight="1" x14ac:dyDescent="0.35">
      <c r="F840" s="8"/>
    </row>
    <row r="841" spans="6:6" ht="15.75" customHeight="1" x14ac:dyDescent="0.35">
      <c r="F841" s="8"/>
    </row>
    <row r="842" spans="6:6" ht="15.75" customHeight="1" x14ac:dyDescent="0.35">
      <c r="F842" s="8"/>
    </row>
    <row r="843" spans="6:6" ht="15.75" customHeight="1" x14ac:dyDescent="0.35">
      <c r="F843" s="8"/>
    </row>
    <row r="844" spans="6:6" ht="15.75" customHeight="1" x14ac:dyDescent="0.35">
      <c r="F844" s="8"/>
    </row>
    <row r="845" spans="6:6" ht="15.75" customHeight="1" x14ac:dyDescent="0.35">
      <c r="F845" s="8"/>
    </row>
    <row r="846" spans="6:6" ht="15.75" customHeight="1" x14ac:dyDescent="0.35">
      <c r="F846" s="8"/>
    </row>
    <row r="847" spans="6:6" ht="15.75" customHeight="1" x14ac:dyDescent="0.35">
      <c r="F847" s="8"/>
    </row>
    <row r="848" spans="6:6" ht="15.75" customHeight="1" x14ac:dyDescent="0.35">
      <c r="F848" s="8"/>
    </row>
    <row r="849" spans="6:6" ht="15.75" customHeight="1" x14ac:dyDescent="0.35">
      <c r="F849" s="8"/>
    </row>
    <row r="850" spans="6:6" ht="15.75" customHeight="1" x14ac:dyDescent="0.35">
      <c r="F850" s="8"/>
    </row>
    <row r="851" spans="6:6" ht="15.75" customHeight="1" x14ac:dyDescent="0.35">
      <c r="F851" s="8"/>
    </row>
    <row r="852" spans="6:6" ht="15.75" customHeight="1" x14ac:dyDescent="0.35">
      <c r="F852" s="8"/>
    </row>
    <row r="853" spans="6:6" ht="15.75" customHeight="1" x14ac:dyDescent="0.35">
      <c r="F853" s="8"/>
    </row>
    <row r="854" spans="6:6" ht="15.75" customHeight="1" x14ac:dyDescent="0.35">
      <c r="F854" s="8"/>
    </row>
    <row r="855" spans="6:6" ht="15.75" customHeight="1" x14ac:dyDescent="0.35">
      <c r="F855" s="8"/>
    </row>
    <row r="856" spans="6:6" ht="15.75" customHeight="1" x14ac:dyDescent="0.35">
      <c r="F856" s="8"/>
    </row>
    <row r="857" spans="6:6" ht="15.75" customHeight="1" x14ac:dyDescent="0.35">
      <c r="F857" s="8"/>
    </row>
    <row r="858" spans="6:6" ht="15.75" customHeight="1" x14ac:dyDescent="0.35">
      <c r="F858" s="8"/>
    </row>
    <row r="859" spans="6:6" ht="15.75" customHeight="1" x14ac:dyDescent="0.35">
      <c r="F859" s="8"/>
    </row>
    <row r="860" spans="6:6" ht="15.75" customHeight="1" x14ac:dyDescent="0.35">
      <c r="F860" s="8"/>
    </row>
    <row r="861" spans="6:6" ht="15.75" customHeight="1" x14ac:dyDescent="0.35">
      <c r="F861" s="8"/>
    </row>
    <row r="862" spans="6:6" ht="15.75" customHeight="1" x14ac:dyDescent="0.35">
      <c r="F862" s="8"/>
    </row>
    <row r="863" spans="6:6" ht="15.75" customHeight="1" x14ac:dyDescent="0.35">
      <c r="F863" s="8"/>
    </row>
    <row r="864" spans="6:6" ht="15.75" customHeight="1" x14ac:dyDescent="0.35">
      <c r="F864" s="8"/>
    </row>
    <row r="865" spans="6:6" ht="15.75" customHeight="1" x14ac:dyDescent="0.35">
      <c r="F865" s="8"/>
    </row>
    <row r="866" spans="6:6" ht="15.75" customHeight="1" x14ac:dyDescent="0.35">
      <c r="F866" s="8"/>
    </row>
    <row r="867" spans="6:6" ht="15.75" customHeight="1" x14ac:dyDescent="0.35">
      <c r="F867" s="8"/>
    </row>
    <row r="868" spans="6:6" ht="15.75" customHeight="1" x14ac:dyDescent="0.35">
      <c r="F868" s="8"/>
    </row>
    <row r="869" spans="6:6" ht="15.75" customHeight="1" x14ac:dyDescent="0.35">
      <c r="F869" s="8"/>
    </row>
    <row r="870" spans="6:6" ht="15.75" customHeight="1" x14ac:dyDescent="0.35">
      <c r="F870" s="8"/>
    </row>
    <row r="871" spans="6:6" ht="15.75" customHeight="1" x14ac:dyDescent="0.35">
      <c r="F871" s="8"/>
    </row>
    <row r="872" spans="6:6" ht="15.75" customHeight="1" x14ac:dyDescent="0.35">
      <c r="F872" s="8"/>
    </row>
    <row r="873" spans="6:6" ht="15.75" customHeight="1" x14ac:dyDescent="0.35">
      <c r="F873" s="8"/>
    </row>
    <row r="874" spans="6:6" ht="15.75" customHeight="1" x14ac:dyDescent="0.35">
      <c r="F874" s="8"/>
    </row>
    <row r="875" spans="6:6" ht="15.75" customHeight="1" x14ac:dyDescent="0.35">
      <c r="F875" s="8"/>
    </row>
    <row r="876" spans="6:6" ht="15.75" customHeight="1" x14ac:dyDescent="0.35">
      <c r="F876" s="8"/>
    </row>
    <row r="877" spans="6:6" ht="15.75" customHeight="1" x14ac:dyDescent="0.35">
      <c r="F877" s="8"/>
    </row>
    <row r="878" spans="6:6" ht="15.75" customHeight="1" x14ac:dyDescent="0.35">
      <c r="F878" s="8"/>
    </row>
    <row r="879" spans="6:6" ht="15.75" customHeight="1" x14ac:dyDescent="0.35">
      <c r="F879" s="8"/>
    </row>
    <row r="880" spans="6:6" ht="15.75" customHeight="1" x14ac:dyDescent="0.35">
      <c r="F880" s="8"/>
    </row>
    <row r="881" spans="6:6" ht="15.75" customHeight="1" x14ac:dyDescent="0.35">
      <c r="F881" s="8"/>
    </row>
    <row r="882" spans="6:6" ht="15.75" customHeight="1" x14ac:dyDescent="0.35">
      <c r="F882" s="8"/>
    </row>
    <row r="883" spans="6:6" ht="15.75" customHeight="1" x14ac:dyDescent="0.35">
      <c r="F883" s="8"/>
    </row>
    <row r="884" spans="6:6" ht="15.75" customHeight="1" x14ac:dyDescent="0.35">
      <c r="F884" s="8"/>
    </row>
    <row r="885" spans="6:6" ht="15.75" customHeight="1" x14ac:dyDescent="0.35">
      <c r="F885" s="8"/>
    </row>
    <row r="886" spans="6:6" ht="15.75" customHeight="1" x14ac:dyDescent="0.35">
      <c r="F886" s="8"/>
    </row>
    <row r="887" spans="6:6" ht="15.75" customHeight="1" x14ac:dyDescent="0.35">
      <c r="F887" s="8"/>
    </row>
    <row r="888" spans="6:6" ht="15.75" customHeight="1" x14ac:dyDescent="0.35">
      <c r="F888" s="8"/>
    </row>
    <row r="889" spans="6:6" ht="15.75" customHeight="1" x14ac:dyDescent="0.35">
      <c r="F889" s="8"/>
    </row>
    <row r="890" spans="6:6" ht="15.75" customHeight="1" x14ac:dyDescent="0.35">
      <c r="F890" s="8"/>
    </row>
    <row r="891" spans="6:6" ht="15.75" customHeight="1" x14ac:dyDescent="0.35">
      <c r="F891" s="8"/>
    </row>
    <row r="892" spans="6:6" ht="15.75" customHeight="1" x14ac:dyDescent="0.35">
      <c r="F892" s="8"/>
    </row>
    <row r="893" spans="6:6" ht="15.75" customHeight="1" x14ac:dyDescent="0.35">
      <c r="F893" s="8"/>
    </row>
    <row r="894" spans="6:6" ht="15.75" customHeight="1" x14ac:dyDescent="0.35">
      <c r="F894" s="8"/>
    </row>
    <row r="895" spans="6:6" ht="15.75" customHeight="1" x14ac:dyDescent="0.35">
      <c r="F895" s="8"/>
    </row>
    <row r="896" spans="6:6" ht="15.75" customHeight="1" x14ac:dyDescent="0.35">
      <c r="F896" s="8"/>
    </row>
    <row r="897" spans="6:6" ht="15.75" customHeight="1" x14ac:dyDescent="0.35">
      <c r="F897" s="8"/>
    </row>
    <row r="898" spans="6:6" ht="15.75" customHeight="1" x14ac:dyDescent="0.35">
      <c r="F898" s="8"/>
    </row>
    <row r="899" spans="6:6" ht="15.75" customHeight="1" x14ac:dyDescent="0.35">
      <c r="F899" s="8"/>
    </row>
    <row r="900" spans="6:6" ht="15.75" customHeight="1" x14ac:dyDescent="0.35">
      <c r="F900" s="8"/>
    </row>
    <row r="901" spans="6:6" ht="15.75" customHeight="1" x14ac:dyDescent="0.35">
      <c r="F901" s="8"/>
    </row>
    <row r="902" spans="6:6" ht="15.75" customHeight="1" x14ac:dyDescent="0.35">
      <c r="F902" s="8"/>
    </row>
    <row r="903" spans="6:6" ht="15.75" customHeight="1" x14ac:dyDescent="0.35">
      <c r="F903" s="8"/>
    </row>
    <row r="904" spans="6:6" ht="15.75" customHeight="1" x14ac:dyDescent="0.35">
      <c r="F904" s="8"/>
    </row>
    <row r="905" spans="6:6" ht="15.75" customHeight="1" x14ac:dyDescent="0.35">
      <c r="F905" s="8"/>
    </row>
    <row r="906" spans="6:6" ht="15.75" customHeight="1" x14ac:dyDescent="0.35">
      <c r="F906" s="8"/>
    </row>
    <row r="907" spans="6:6" ht="15.75" customHeight="1" x14ac:dyDescent="0.35">
      <c r="F907" s="8"/>
    </row>
    <row r="908" spans="6:6" ht="15.75" customHeight="1" x14ac:dyDescent="0.35">
      <c r="F908" s="8"/>
    </row>
    <row r="909" spans="6:6" ht="15.75" customHeight="1" x14ac:dyDescent="0.35">
      <c r="F909" s="8"/>
    </row>
    <row r="910" spans="6:6" ht="15.75" customHeight="1" x14ac:dyDescent="0.35">
      <c r="F910" s="8"/>
    </row>
    <row r="911" spans="6:6" ht="15.75" customHeight="1" x14ac:dyDescent="0.35">
      <c r="F911" s="8"/>
    </row>
    <row r="912" spans="6:6" ht="15.75" customHeight="1" x14ac:dyDescent="0.35">
      <c r="F912" s="8"/>
    </row>
    <row r="913" spans="6:6" ht="15.75" customHeight="1" x14ac:dyDescent="0.35">
      <c r="F913" s="8"/>
    </row>
    <row r="914" spans="6:6" ht="15.75" customHeight="1" x14ac:dyDescent="0.35">
      <c r="F914" s="8"/>
    </row>
    <row r="915" spans="6:6" ht="15.75" customHeight="1" x14ac:dyDescent="0.35">
      <c r="F915" s="8"/>
    </row>
    <row r="916" spans="6:6" ht="15.75" customHeight="1" x14ac:dyDescent="0.35">
      <c r="F916" s="8"/>
    </row>
    <row r="917" spans="6:6" ht="15.75" customHeight="1" x14ac:dyDescent="0.35">
      <c r="F917" s="8"/>
    </row>
    <row r="918" spans="6:6" ht="15.75" customHeight="1" x14ac:dyDescent="0.35">
      <c r="F918" s="8"/>
    </row>
    <row r="919" spans="6:6" ht="15.75" customHeight="1" x14ac:dyDescent="0.35">
      <c r="F919" s="8"/>
    </row>
    <row r="920" spans="6:6" ht="15.75" customHeight="1" x14ac:dyDescent="0.35">
      <c r="F920" s="8"/>
    </row>
    <row r="921" spans="6:6" ht="15.75" customHeight="1" x14ac:dyDescent="0.35">
      <c r="F921" s="8"/>
    </row>
    <row r="922" spans="6:6" ht="15.75" customHeight="1" x14ac:dyDescent="0.35">
      <c r="F922" s="8"/>
    </row>
    <row r="923" spans="6:6" ht="15.75" customHeight="1" x14ac:dyDescent="0.35">
      <c r="F923" s="8"/>
    </row>
    <row r="924" spans="6:6" ht="15.75" customHeight="1" x14ac:dyDescent="0.35">
      <c r="F924" s="8"/>
    </row>
    <row r="925" spans="6:6" ht="15.75" customHeight="1" x14ac:dyDescent="0.35">
      <c r="F925" s="8"/>
    </row>
    <row r="926" spans="6:6" ht="15.75" customHeight="1" x14ac:dyDescent="0.35">
      <c r="F926" s="8"/>
    </row>
    <row r="927" spans="6:6" ht="15.75" customHeight="1" x14ac:dyDescent="0.35">
      <c r="F927" s="8"/>
    </row>
    <row r="928" spans="6:6" ht="15.75" customHeight="1" x14ac:dyDescent="0.35">
      <c r="F928" s="8"/>
    </row>
    <row r="929" spans="6:6" ht="15.75" customHeight="1" x14ac:dyDescent="0.35">
      <c r="F929" s="8"/>
    </row>
    <row r="930" spans="6:6" ht="15.75" customHeight="1" x14ac:dyDescent="0.35">
      <c r="F930" s="8"/>
    </row>
    <row r="931" spans="6:6" ht="15.75" customHeight="1" x14ac:dyDescent="0.35">
      <c r="F931" s="8"/>
    </row>
    <row r="932" spans="6:6" ht="15.75" customHeight="1" x14ac:dyDescent="0.35">
      <c r="F932" s="8"/>
    </row>
    <row r="933" spans="6:6" ht="15.75" customHeight="1" x14ac:dyDescent="0.35">
      <c r="F933" s="8"/>
    </row>
    <row r="934" spans="6:6" ht="15.75" customHeight="1" x14ac:dyDescent="0.35">
      <c r="F934" s="8"/>
    </row>
    <row r="935" spans="6:6" ht="15.75" customHeight="1" x14ac:dyDescent="0.35">
      <c r="F935" s="8"/>
    </row>
    <row r="936" spans="6:6" ht="15.75" customHeight="1" x14ac:dyDescent="0.35">
      <c r="F936" s="8"/>
    </row>
    <row r="937" spans="6:6" ht="15.75" customHeight="1" x14ac:dyDescent="0.35">
      <c r="F937" s="8"/>
    </row>
    <row r="938" spans="6:6" ht="15.75" customHeight="1" x14ac:dyDescent="0.35">
      <c r="F938" s="8"/>
    </row>
    <row r="939" spans="6:6" ht="15.75" customHeight="1" x14ac:dyDescent="0.35">
      <c r="F939" s="8"/>
    </row>
    <row r="940" spans="6:6" ht="15.75" customHeight="1" x14ac:dyDescent="0.35">
      <c r="F940" s="8"/>
    </row>
    <row r="941" spans="6:6" ht="15.75" customHeight="1" x14ac:dyDescent="0.35">
      <c r="F941" s="8"/>
    </row>
    <row r="942" spans="6:6" ht="15.75" customHeight="1" x14ac:dyDescent="0.35">
      <c r="F942" s="8"/>
    </row>
    <row r="943" spans="6:6" ht="15.75" customHeight="1" x14ac:dyDescent="0.35">
      <c r="F943" s="8"/>
    </row>
    <row r="944" spans="6:6" ht="15.75" customHeight="1" x14ac:dyDescent="0.35">
      <c r="F944" s="8"/>
    </row>
    <row r="945" spans="6:6" ht="15.75" customHeight="1" x14ac:dyDescent="0.35">
      <c r="F945" s="8"/>
    </row>
    <row r="946" spans="6:6" ht="15.75" customHeight="1" x14ac:dyDescent="0.35">
      <c r="F946" s="8"/>
    </row>
    <row r="947" spans="6:6" ht="15.75" customHeight="1" x14ac:dyDescent="0.35">
      <c r="F947" s="8"/>
    </row>
    <row r="948" spans="6:6" ht="15.75" customHeight="1" x14ac:dyDescent="0.35">
      <c r="F948" s="8"/>
    </row>
    <row r="949" spans="6:6" ht="15.75" customHeight="1" x14ac:dyDescent="0.35">
      <c r="F949" s="8"/>
    </row>
    <row r="950" spans="6:6" ht="15.75" customHeight="1" x14ac:dyDescent="0.35">
      <c r="F950" s="8"/>
    </row>
    <row r="951" spans="6:6" ht="15.75" customHeight="1" x14ac:dyDescent="0.35">
      <c r="F951" s="8"/>
    </row>
    <row r="952" spans="6:6" ht="15.75" customHeight="1" x14ac:dyDescent="0.35">
      <c r="F952" s="8"/>
    </row>
    <row r="953" spans="6:6" ht="15.75" customHeight="1" x14ac:dyDescent="0.35">
      <c r="F953" s="8"/>
    </row>
    <row r="954" spans="6:6" ht="15.75" customHeight="1" x14ac:dyDescent="0.35">
      <c r="F954" s="8"/>
    </row>
    <row r="955" spans="6:6" ht="15.75" customHeight="1" x14ac:dyDescent="0.35">
      <c r="F955" s="8"/>
    </row>
    <row r="956" spans="6:6" ht="15.75" customHeight="1" x14ac:dyDescent="0.35">
      <c r="F956" s="8"/>
    </row>
    <row r="957" spans="6:6" ht="15.75" customHeight="1" x14ac:dyDescent="0.35">
      <c r="F957" s="8"/>
    </row>
    <row r="958" spans="6:6" ht="15.75" customHeight="1" x14ac:dyDescent="0.35">
      <c r="F958" s="8"/>
    </row>
    <row r="959" spans="6:6" ht="15.75" customHeight="1" x14ac:dyDescent="0.35">
      <c r="F959" s="8"/>
    </row>
    <row r="960" spans="6:6" ht="15.75" customHeight="1" x14ac:dyDescent="0.35">
      <c r="F960" s="8"/>
    </row>
    <row r="961" spans="6:6" ht="15.75" customHeight="1" x14ac:dyDescent="0.35">
      <c r="F961" s="8"/>
    </row>
    <row r="962" spans="6:6" ht="15.75" customHeight="1" x14ac:dyDescent="0.35">
      <c r="F962" s="8"/>
    </row>
    <row r="963" spans="6:6" ht="15.75" customHeight="1" x14ac:dyDescent="0.35">
      <c r="F963" s="8"/>
    </row>
    <row r="964" spans="6:6" ht="15.75" customHeight="1" x14ac:dyDescent="0.35">
      <c r="F964" s="8"/>
    </row>
    <row r="965" spans="6:6" ht="15.75" customHeight="1" x14ac:dyDescent="0.35">
      <c r="F965" s="8"/>
    </row>
    <row r="966" spans="6:6" ht="15.75" customHeight="1" x14ac:dyDescent="0.35">
      <c r="F966" s="8"/>
    </row>
    <row r="967" spans="6:6" ht="15.75" customHeight="1" x14ac:dyDescent="0.35">
      <c r="F967" s="8"/>
    </row>
    <row r="968" spans="6:6" ht="15.75" customHeight="1" x14ac:dyDescent="0.35">
      <c r="F968" s="8"/>
    </row>
    <row r="969" spans="6:6" ht="15.75" customHeight="1" x14ac:dyDescent="0.35">
      <c r="F969" s="8"/>
    </row>
    <row r="970" spans="6:6" ht="15.75" customHeight="1" x14ac:dyDescent="0.35">
      <c r="F970" s="8"/>
    </row>
    <row r="971" spans="6:6" ht="15.75" customHeight="1" x14ac:dyDescent="0.35">
      <c r="F971" s="8"/>
    </row>
    <row r="972" spans="6:6" ht="15.75" customHeight="1" x14ac:dyDescent="0.35">
      <c r="F972" s="8"/>
    </row>
    <row r="973" spans="6:6" ht="15.75" customHeight="1" x14ac:dyDescent="0.35">
      <c r="F973" s="8"/>
    </row>
    <row r="974" spans="6:6" ht="15.75" customHeight="1" x14ac:dyDescent="0.35">
      <c r="F974" s="8"/>
    </row>
    <row r="975" spans="6:6" ht="15.75" customHeight="1" x14ac:dyDescent="0.35">
      <c r="F975" s="8"/>
    </row>
    <row r="976" spans="6:6" ht="15.75" customHeight="1" x14ac:dyDescent="0.35">
      <c r="F976" s="8"/>
    </row>
    <row r="977" spans="6:6" ht="15.75" customHeight="1" x14ac:dyDescent="0.35">
      <c r="F977" s="8"/>
    </row>
    <row r="978" spans="6:6" ht="15.75" customHeight="1" x14ac:dyDescent="0.35">
      <c r="F978" s="8"/>
    </row>
    <row r="979" spans="6:6" ht="15.75" customHeight="1" x14ac:dyDescent="0.35">
      <c r="F979" s="8"/>
    </row>
    <row r="980" spans="6:6" ht="15.75" customHeight="1" x14ac:dyDescent="0.35">
      <c r="F980" s="8"/>
    </row>
    <row r="981" spans="6:6" ht="15.75" customHeight="1" x14ac:dyDescent="0.35">
      <c r="F981" s="8"/>
    </row>
    <row r="982" spans="6:6" ht="15.75" customHeight="1" x14ac:dyDescent="0.35">
      <c r="F982" s="8"/>
    </row>
    <row r="983" spans="6:6" ht="15.75" customHeight="1" x14ac:dyDescent="0.35">
      <c r="F983" s="8"/>
    </row>
    <row r="984" spans="6:6" ht="15.75" customHeight="1" x14ac:dyDescent="0.35">
      <c r="F984" s="8"/>
    </row>
    <row r="985" spans="6:6" ht="15.75" customHeight="1" x14ac:dyDescent="0.35">
      <c r="F985" s="8"/>
    </row>
    <row r="986" spans="6:6" ht="15.75" customHeight="1" x14ac:dyDescent="0.35">
      <c r="F986" s="8"/>
    </row>
    <row r="987" spans="6:6" ht="15.75" customHeight="1" x14ac:dyDescent="0.35">
      <c r="F987" s="8"/>
    </row>
    <row r="988" spans="6:6" ht="15.75" customHeight="1" x14ac:dyDescent="0.35">
      <c r="F988" s="8"/>
    </row>
    <row r="989" spans="6:6" ht="15.75" customHeight="1" x14ac:dyDescent="0.35">
      <c r="F989" s="8"/>
    </row>
    <row r="990" spans="6:6" ht="15.75" customHeight="1" x14ac:dyDescent="0.35">
      <c r="F990" s="8"/>
    </row>
    <row r="991" spans="6:6" ht="15.75" customHeight="1" x14ac:dyDescent="0.35">
      <c r="F991" s="8"/>
    </row>
    <row r="992" spans="6:6" ht="15.75" customHeight="1" x14ac:dyDescent="0.35">
      <c r="F992" s="8"/>
    </row>
    <row r="993" spans="6:6" ht="15.75" customHeight="1" x14ac:dyDescent="0.35">
      <c r="F993" s="8"/>
    </row>
    <row r="994" spans="6:6" ht="15.75" customHeight="1" x14ac:dyDescent="0.35">
      <c r="F994" s="8"/>
    </row>
    <row r="995" spans="6:6" ht="15.75" customHeight="1" x14ac:dyDescent="0.35">
      <c r="F995" s="8"/>
    </row>
    <row r="996" spans="6:6" ht="15.75" customHeight="1" x14ac:dyDescent="0.35">
      <c r="F996" s="8"/>
    </row>
    <row r="997" spans="6:6" ht="15.75" customHeight="1" x14ac:dyDescent="0.35">
      <c r="F997" s="8"/>
    </row>
    <row r="998" spans="6:6" ht="15.75" customHeight="1" x14ac:dyDescent="0.35">
      <c r="F998" s="8"/>
    </row>
    <row r="999" spans="6:6" ht="15.75" customHeight="1" x14ac:dyDescent="0.35">
      <c r="F999" s="8"/>
    </row>
    <row r="1000" spans="6:6" ht="15.75" customHeight="1" x14ac:dyDescent="0.35">
      <c r="F1000" s="8"/>
    </row>
    <row r="1001" spans="6:6" ht="15.75" customHeight="1" x14ac:dyDescent="0.35">
      <c r="F1001" s="8"/>
    </row>
    <row r="1002" spans="6:6" ht="15.75" customHeight="1" x14ac:dyDescent="0.35">
      <c r="F1002" s="8"/>
    </row>
    <row r="1003" spans="6:6" ht="15.75" customHeight="1" x14ac:dyDescent="0.35">
      <c r="F1003" s="8"/>
    </row>
    <row r="1004" spans="6:6" ht="15.75" customHeight="1" x14ac:dyDescent="0.35">
      <c r="F1004" s="8"/>
    </row>
    <row r="1005" spans="6:6" ht="15.75" customHeight="1" x14ac:dyDescent="0.35">
      <c r="F1005" s="8"/>
    </row>
    <row r="1006" spans="6:6" ht="15.75" customHeight="1" x14ac:dyDescent="0.35">
      <c r="F1006" s="8"/>
    </row>
    <row r="1007" spans="6:6" ht="15.75" customHeight="1" x14ac:dyDescent="0.35">
      <c r="F1007" s="8"/>
    </row>
    <row r="1008" spans="6:6" ht="15.75" customHeight="1" x14ac:dyDescent="0.35">
      <c r="F1008" s="8"/>
    </row>
    <row r="1009" spans="6:6" ht="15.75" customHeight="1" x14ac:dyDescent="0.35">
      <c r="F1009" s="8"/>
    </row>
    <row r="1010" spans="6:6" ht="15.75" customHeight="1" x14ac:dyDescent="0.35">
      <c r="F1010" s="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12"/>
  <sheetViews>
    <sheetView workbookViewId="0"/>
  </sheetViews>
  <sheetFormatPr defaultColWidth="14.453125" defaultRowHeight="15" customHeight="1" x14ac:dyDescent="0.35"/>
  <cols>
    <col min="1" max="1" width="9.08984375" customWidth="1"/>
    <col min="2" max="2" width="21.54296875" customWidth="1"/>
    <col min="3" max="3" width="32.26953125" customWidth="1"/>
    <col min="4" max="4" width="13.453125" customWidth="1"/>
    <col min="5" max="5" width="21" customWidth="1"/>
    <col min="6" max="6" width="14" customWidth="1"/>
    <col min="7" max="26" width="8.7265625" customWidth="1"/>
  </cols>
  <sheetData>
    <row r="1" spans="1:26" ht="14.25" customHeight="1" x14ac:dyDescent="0.35">
      <c r="A1" s="1"/>
      <c r="B1" s="3" t="s">
        <v>0</v>
      </c>
      <c r="C1" s="1"/>
      <c r="D1" s="1"/>
      <c r="E1" s="1"/>
      <c r="F1" s="6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4.25" customHeight="1" x14ac:dyDescent="0.35">
      <c r="A2" s="1"/>
      <c r="B2" s="15" t="s">
        <v>2</v>
      </c>
      <c r="C2" s="17" t="s">
        <v>3</v>
      </c>
      <c r="D2" s="17" t="s">
        <v>4</v>
      </c>
      <c r="E2" s="15" t="s">
        <v>5</v>
      </c>
      <c r="F2" s="20" t="s">
        <v>6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4.25" customHeight="1" x14ac:dyDescent="0.35">
      <c r="A3" s="1"/>
      <c r="B3" s="24">
        <v>1</v>
      </c>
      <c r="C3" s="33" t="s">
        <v>8</v>
      </c>
      <c r="D3" s="33" t="s">
        <v>10</v>
      </c>
      <c r="E3" s="36" t="s">
        <v>11</v>
      </c>
      <c r="F3" s="6">
        <f>+Salary!Q161</f>
        <v>0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4.25" customHeight="1" x14ac:dyDescent="0.35">
      <c r="A4" s="1"/>
      <c r="B4" s="24">
        <v>2</v>
      </c>
      <c r="C4" s="33" t="s">
        <v>14</v>
      </c>
      <c r="D4" s="33" t="s">
        <v>10</v>
      </c>
      <c r="E4" s="36" t="s">
        <v>15</v>
      </c>
      <c r="F4" s="6">
        <f>+Salary!Q190</f>
        <v>0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4.25" customHeight="1" x14ac:dyDescent="0.35">
      <c r="A5" s="1"/>
      <c r="B5" s="24">
        <v>3</v>
      </c>
      <c r="C5" s="1" t="s">
        <v>17</v>
      </c>
      <c r="D5" s="33" t="s">
        <v>10</v>
      </c>
      <c r="E5" s="46" t="s">
        <v>21</v>
      </c>
      <c r="F5" s="6">
        <f>+Salary!Q49</f>
        <v>0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4.25" customHeight="1" x14ac:dyDescent="0.35">
      <c r="A6" s="1"/>
      <c r="B6" s="24">
        <v>4</v>
      </c>
      <c r="C6" s="33" t="s">
        <v>23</v>
      </c>
      <c r="D6" s="33" t="s">
        <v>10</v>
      </c>
      <c r="E6" s="46" t="s">
        <v>25</v>
      </c>
      <c r="F6" s="6">
        <f>+Salary!Q191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4.25" customHeight="1" x14ac:dyDescent="0.35">
      <c r="A7" s="1"/>
      <c r="B7" s="24">
        <v>5</v>
      </c>
      <c r="C7" s="33" t="s">
        <v>18</v>
      </c>
      <c r="D7" s="33" t="s">
        <v>10</v>
      </c>
      <c r="E7" s="46" t="s">
        <v>20</v>
      </c>
      <c r="F7" s="6">
        <f>+Salary!Q183</f>
        <v>0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4.25" customHeight="1" x14ac:dyDescent="0.35">
      <c r="A8" s="1"/>
      <c r="B8" s="24">
        <v>6</v>
      </c>
      <c r="C8" s="1" t="s">
        <v>26</v>
      </c>
      <c r="D8" s="33" t="s">
        <v>10</v>
      </c>
      <c r="E8" s="46" t="s">
        <v>27</v>
      </c>
      <c r="F8" s="6">
        <f>+Salary!Q99</f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4.25" customHeight="1" x14ac:dyDescent="0.35">
      <c r="A9" s="1"/>
      <c r="B9" s="24">
        <v>7</v>
      </c>
      <c r="C9" s="1" t="s">
        <v>28</v>
      </c>
      <c r="D9" s="1" t="s">
        <v>10</v>
      </c>
      <c r="E9" s="46" t="s">
        <v>29</v>
      </c>
      <c r="F9" s="6">
        <f>+Salary!Q117</f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4.25" customHeight="1" x14ac:dyDescent="0.35">
      <c r="A10" s="1"/>
      <c r="B10" s="24">
        <v>8</v>
      </c>
      <c r="C10" s="1" t="s">
        <v>30</v>
      </c>
      <c r="D10" s="1" t="s">
        <v>10</v>
      </c>
      <c r="E10" s="33" t="s">
        <v>32</v>
      </c>
      <c r="F10" s="6">
        <f>+Salary!Q94</f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4.25" customHeight="1" x14ac:dyDescent="0.35">
      <c r="A11" s="1"/>
      <c r="B11" s="24">
        <v>9</v>
      </c>
      <c r="C11" s="33" t="s">
        <v>38</v>
      </c>
      <c r="D11" s="1" t="s">
        <v>10</v>
      </c>
      <c r="E11" s="1" t="s">
        <v>42</v>
      </c>
      <c r="F11" s="6">
        <f>+Salary!Q103</f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4.25" customHeight="1" x14ac:dyDescent="0.35">
      <c r="A12" s="1"/>
      <c r="B12" s="24">
        <v>10</v>
      </c>
      <c r="C12" s="33" t="s">
        <v>49</v>
      </c>
      <c r="D12" s="33" t="s">
        <v>10</v>
      </c>
      <c r="E12" s="46" t="s">
        <v>51</v>
      </c>
      <c r="F12" s="6">
        <f>+Salary!Q156</f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4.25" customHeight="1" x14ac:dyDescent="0.35">
      <c r="A13" s="1"/>
      <c r="B13" s="24">
        <v>11</v>
      </c>
      <c r="C13" s="1" t="s">
        <v>52</v>
      </c>
      <c r="D13" s="33" t="s">
        <v>10</v>
      </c>
      <c r="E13" s="46" t="s">
        <v>54</v>
      </c>
      <c r="F13" s="6">
        <f>+Salary!Q21</f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4.25" customHeight="1" x14ac:dyDescent="0.35">
      <c r="A14" s="1"/>
      <c r="B14" s="24">
        <v>12</v>
      </c>
      <c r="C14" s="1" t="s">
        <v>63</v>
      </c>
      <c r="D14" s="33" t="s">
        <v>10</v>
      </c>
      <c r="E14" s="46" t="s">
        <v>64</v>
      </c>
      <c r="F14" s="6">
        <f>+Salary!Q100</f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4.25" customHeight="1" x14ac:dyDescent="0.35">
      <c r="A15" s="1"/>
      <c r="B15" s="24">
        <v>13</v>
      </c>
      <c r="C15" s="1" t="s">
        <v>55</v>
      </c>
      <c r="D15" s="33" t="s">
        <v>10</v>
      </c>
      <c r="E15" s="46" t="s">
        <v>61</v>
      </c>
      <c r="F15" s="6">
        <f>+Salary!Q226</f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4.25" customHeight="1" x14ac:dyDescent="0.35">
      <c r="A16" s="1"/>
      <c r="B16" s="24">
        <v>14</v>
      </c>
      <c r="C16" s="1" t="s">
        <v>65</v>
      </c>
      <c r="D16" s="1" t="s">
        <v>10</v>
      </c>
      <c r="E16" s="46" t="s">
        <v>66</v>
      </c>
      <c r="F16" s="6">
        <f>+Salary!Q189</f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4.25" customHeight="1" x14ac:dyDescent="0.35">
      <c r="A17" s="1"/>
      <c r="B17" s="24">
        <v>15</v>
      </c>
      <c r="C17" s="1" t="s">
        <v>70</v>
      </c>
      <c r="D17" s="1" t="s">
        <v>10</v>
      </c>
      <c r="E17" s="46" t="s">
        <v>72</v>
      </c>
      <c r="F17" s="6">
        <f>+Salary!Q90</f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4.25" customHeight="1" x14ac:dyDescent="0.35">
      <c r="A18" s="1"/>
      <c r="B18" s="24">
        <v>16</v>
      </c>
      <c r="C18" s="1" t="s">
        <v>77</v>
      </c>
      <c r="D18" s="33" t="s">
        <v>10</v>
      </c>
      <c r="E18" s="1" t="s">
        <v>78</v>
      </c>
      <c r="F18" s="6">
        <f>+Salary!Q238</f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4.25" customHeight="1" x14ac:dyDescent="0.35">
      <c r="A19" s="1"/>
      <c r="B19" s="24">
        <v>17</v>
      </c>
      <c r="C19" s="1" t="s">
        <v>82</v>
      </c>
      <c r="D19" s="33" t="s">
        <v>10</v>
      </c>
      <c r="E19" s="1" t="s">
        <v>84</v>
      </c>
      <c r="F19" s="6">
        <f>+Salary!Q240</f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4.25" customHeight="1" x14ac:dyDescent="0.35">
      <c r="A20" s="1"/>
      <c r="B20" s="24">
        <v>18</v>
      </c>
      <c r="C20" s="1" t="s">
        <v>80</v>
      </c>
      <c r="D20" s="33" t="s">
        <v>10</v>
      </c>
      <c r="E20" s="46" t="s">
        <v>81</v>
      </c>
      <c r="F20" s="6">
        <f>+Salary!Q91</f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4.25" customHeight="1" x14ac:dyDescent="0.35">
      <c r="A21" s="1"/>
      <c r="B21" s="24">
        <v>19</v>
      </c>
      <c r="C21" s="1" t="s">
        <v>93</v>
      </c>
      <c r="D21" s="107" t="s">
        <v>10</v>
      </c>
      <c r="E21" s="1" t="s">
        <v>95</v>
      </c>
      <c r="F21" s="6">
        <f>+Salary!Q167</f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4.25" customHeight="1" x14ac:dyDescent="0.35">
      <c r="A22" s="1"/>
      <c r="B22" s="24">
        <v>20</v>
      </c>
      <c r="C22" s="33" t="s">
        <v>83</v>
      </c>
      <c r="D22" s="107" t="s">
        <v>10</v>
      </c>
      <c r="E22" s="109" t="s">
        <v>87</v>
      </c>
      <c r="F22" s="6">
        <f>+Salary!Q209</f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4.25" customHeight="1" x14ac:dyDescent="0.35">
      <c r="A23" s="1"/>
      <c r="B23" s="24">
        <v>21</v>
      </c>
      <c r="C23" s="1" t="s">
        <v>97</v>
      </c>
      <c r="D23" s="107" t="s">
        <v>10</v>
      </c>
      <c r="E23" s="33" t="s">
        <v>98</v>
      </c>
      <c r="F23" s="6">
        <f>+Salary!Q65</f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4.25" customHeight="1" x14ac:dyDescent="0.35">
      <c r="A24" s="1"/>
      <c r="B24" s="24">
        <v>22</v>
      </c>
      <c r="C24" s="33" t="s">
        <v>89</v>
      </c>
      <c r="D24" s="107" t="s">
        <v>10</v>
      </c>
      <c r="E24" s="46" t="s">
        <v>90</v>
      </c>
      <c r="F24" s="6">
        <f>+Salary!Q131</f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4.25" customHeight="1" x14ac:dyDescent="0.35">
      <c r="A25" s="1"/>
      <c r="B25" s="24">
        <v>23</v>
      </c>
      <c r="C25" s="1" t="s">
        <v>91</v>
      </c>
      <c r="D25" s="107" t="s">
        <v>10</v>
      </c>
      <c r="E25" s="46" t="s">
        <v>92</v>
      </c>
      <c r="F25" s="6">
        <f>+Salary!Q115</f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4.25" customHeight="1" x14ac:dyDescent="0.35">
      <c r="A26" s="1"/>
      <c r="B26" s="24">
        <v>24</v>
      </c>
      <c r="C26" s="1" t="s">
        <v>119</v>
      </c>
      <c r="D26" s="107" t="s">
        <v>10</v>
      </c>
      <c r="E26" s="1" t="s">
        <v>121</v>
      </c>
      <c r="F26" s="6">
        <f>+Salary!Q262</f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4.25" customHeight="1" x14ac:dyDescent="0.35">
      <c r="A27" s="1"/>
      <c r="B27" s="24">
        <v>25</v>
      </c>
      <c r="C27" s="1" t="s">
        <v>99</v>
      </c>
      <c r="D27" s="1" t="s">
        <v>10</v>
      </c>
      <c r="E27" s="1" t="s">
        <v>100</v>
      </c>
      <c r="F27" s="6">
        <f>+Salary!Q118</f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4.25" customHeight="1" x14ac:dyDescent="0.35">
      <c r="A28" s="1"/>
      <c r="B28" s="24">
        <v>26</v>
      </c>
      <c r="C28" s="33" t="s">
        <v>101</v>
      </c>
      <c r="D28" s="107" t="s">
        <v>10</v>
      </c>
      <c r="E28" s="46" t="s">
        <v>104</v>
      </c>
      <c r="F28" s="6">
        <f>+Salary!Q16</f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4.25" customHeight="1" x14ac:dyDescent="0.35">
      <c r="A29" s="1"/>
      <c r="B29" s="24">
        <v>27</v>
      </c>
      <c r="C29" s="33" t="s">
        <v>106</v>
      </c>
      <c r="D29" s="107" t="s">
        <v>10</v>
      </c>
      <c r="E29" s="46" t="s">
        <v>107</v>
      </c>
      <c r="F29" s="6">
        <f>+Salary!Q87</f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4.25" customHeight="1" x14ac:dyDescent="0.35">
      <c r="A30" s="1"/>
      <c r="B30" s="24">
        <v>28</v>
      </c>
      <c r="C30" s="1" t="s">
        <v>109</v>
      </c>
      <c r="D30" s="107" t="s">
        <v>10</v>
      </c>
      <c r="E30" s="1" t="s">
        <v>110</v>
      </c>
      <c r="F30" s="6">
        <f>+Salary!Q46</f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4.25" customHeight="1" x14ac:dyDescent="0.35">
      <c r="A31" s="1"/>
      <c r="B31" s="24">
        <v>29</v>
      </c>
      <c r="C31" s="1" t="s">
        <v>116</v>
      </c>
      <c r="D31" s="1" t="s">
        <v>10</v>
      </c>
      <c r="E31" s="1" t="s">
        <v>117</v>
      </c>
      <c r="F31" s="6">
        <f>+Salary!Q173</f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4.25" customHeight="1" x14ac:dyDescent="0.35">
      <c r="A32" s="1"/>
      <c r="B32" s="24">
        <v>30</v>
      </c>
      <c r="C32" s="1" t="s">
        <v>114</v>
      </c>
      <c r="D32" s="107" t="s">
        <v>10</v>
      </c>
      <c r="E32" s="1" t="s">
        <v>115</v>
      </c>
      <c r="F32" s="6">
        <f>+Salary!Q110</f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4.25" customHeight="1" x14ac:dyDescent="0.35">
      <c r="A33" s="1"/>
      <c r="B33" s="24">
        <v>31</v>
      </c>
      <c r="C33" s="1" t="s">
        <v>153</v>
      </c>
      <c r="D33" s="107" t="s">
        <v>10</v>
      </c>
      <c r="E33" s="117" t="s">
        <v>154</v>
      </c>
      <c r="F33" s="118">
        <f>+Salary!Q171</f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4.25" customHeight="1" x14ac:dyDescent="0.35">
      <c r="A34" s="1"/>
      <c r="B34" s="24">
        <v>32</v>
      </c>
      <c r="C34" s="105" t="s">
        <v>122</v>
      </c>
      <c r="D34" s="1" t="s">
        <v>10</v>
      </c>
      <c r="E34" s="46">
        <v>1070011937104</v>
      </c>
      <c r="F34" s="6">
        <f>+Salary!Q59</f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4.25" customHeight="1" x14ac:dyDescent="0.35">
      <c r="A35" s="1"/>
      <c r="B35" s="24">
        <v>33</v>
      </c>
      <c r="C35" s="1" t="s">
        <v>127</v>
      </c>
      <c r="D35" s="1" t="s">
        <v>10</v>
      </c>
      <c r="E35" s="46" t="s">
        <v>130</v>
      </c>
      <c r="F35" s="6">
        <f>+Salary!Q123</f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4.25" customHeight="1" x14ac:dyDescent="0.35">
      <c r="A36" s="1"/>
      <c r="B36" s="24">
        <v>34</v>
      </c>
      <c r="C36" s="1" t="s">
        <v>166</v>
      </c>
      <c r="D36" s="107" t="s">
        <v>10</v>
      </c>
      <c r="E36" s="117" t="s">
        <v>167</v>
      </c>
      <c r="F36" s="6">
        <f>+Salary!Q141</f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4.25" customHeight="1" x14ac:dyDescent="0.35">
      <c r="A37" s="1"/>
      <c r="B37" s="24">
        <v>35</v>
      </c>
      <c r="C37" s="1" t="s">
        <v>147</v>
      </c>
      <c r="D37" s="107" t="s">
        <v>10</v>
      </c>
      <c r="E37" s="33" t="s">
        <v>148</v>
      </c>
      <c r="F37" s="6">
        <f>+Salary!Q222</f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4.25" customHeight="1" x14ac:dyDescent="0.35">
      <c r="A38" s="1"/>
      <c r="B38" s="24">
        <v>36</v>
      </c>
      <c r="C38" s="1" t="s">
        <v>161</v>
      </c>
      <c r="D38" s="107" t="s">
        <v>10</v>
      </c>
      <c r="E38" s="1" t="s">
        <v>162</v>
      </c>
      <c r="F38" s="6">
        <f>+Salary!Q144</f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4.25" customHeight="1" x14ac:dyDescent="0.35">
      <c r="A39" s="1"/>
      <c r="B39" s="24">
        <v>37</v>
      </c>
      <c r="C39" s="1" t="s">
        <v>152</v>
      </c>
      <c r="D39" s="107" t="s">
        <v>10</v>
      </c>
      <c r="E39" s="33" t="s">
        <v>155</v>
      </c>
      <c r="F39" s="6">
        <f>+Salary!Q172</f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4.25" customHeight="1" x14ac:dyDescent="0.35">
      <c r="A40" s="1"/>
      <c r="B40" s="24">
        <v>38</v>
      </c>
      <c r="C40" s="1" t="s">
        <v>132</v>
      </c>
      <c r="D40" s="1" t="s">
        <v>10</v>
      </c>
      <c r="E40" s="46" t="s">
        <v>133</v>
      </c>
      <c r="F40" s="6">
        <f>+Salary!Q102</f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4.25" customHeight="1" x14ac:dyDescent="0.35">
      <c r="A41" s="1"/>
      <c r="B41" s="24">
        <v>39</v>
      </c>
      <c r="C41" s="1" t="s">
        <v>156</v>
      </c>
      <c r="D41" s="1" t="s">
        <v>10</v>
      </c>
      <c r="E41" s="1" t="s">
        <v>158</v>
      </c>
      <c r="F41" s="6">
        <f>+Salary!Q17</f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4.25" customHeight="1" x14ac:dyDescent="0.35">
      <c r="A42" s="1"/>
      <c r="B42" s="24">
        <v>40</v>
      </c>
      <c r="C42" s="1" t="s">
        <v>135</v>
      </c>
      <c r="D42" s="113" t="s">
        <v>136</v>
      </c>
      <c r="E42" s="114" t="s">
        <v>137</v>
      </c>
      <c r="F42" s="6">
        <f>+Salary!Q22</f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4.25" customHeight="1" x14ac:dyDescent="0.35">
      <c r="A43" s="1"/>
      <c r="B43" s="24">
        <v>41</v>
      </c>
      <c r="C43" s="105" t="s">
        <v>200</v>
      </c>
      <c r="D43" s="33" t="s">
        <v>10</v>
      </c>
      <c r="E43" s="1" t="s">
        <v>201</v>
      </c>
      <c r="F43" s="6">
        <f>+Salary!Q24</f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4.25" customHeight="1" x14ac:dyDescent="0.35">
      <c r="A44" s="1"/>
      <c r="B44" s="24">
        <v>42</v>
      </c>
      <c r="C44" s="121" t="s">
        <v>165</v>
      </c>
      <c r="D44" s="33" t="s">
        <v>10</v>
      </c>
      <c r="E44" s="46" t="s">
        <v>168</v>
      </c>
      <c r="F44" s="6">
        <f>+Salary!Q149</f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4.25" customHeight="1" x14ac:dyDescent="0.35">
      <c r="A45" s="1"/>
      <c r="B45" s="24">
        <v>43</v>
      </c>
      <c r="C45" s="1" t="s">
        <v>209</v>
      </c>
      <c r="D45" s="33" t="s">
        <v>10</v>
      </c>
      <c r="E45" s="1" t="s">
        <v>210</v>
      </c>
      <c r="F45" s="6">
        <f>+Salary!Q55</f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4.25" customHeight="1" x14ac:dyDescent="0.35">
      <c r="A46" s="1"/>
      <c r="B46" s="24">
        <v>44</v>
      </c>
      <c r="C46" s="1" t="s">
        <v>160</v>
      </c>
      <c r="D46" s="33" t="s">
        <v>10</v>
      </c>
      <c r="E46" s="46" t="s">
        <v>216</v>
      </c>
      <c r="F46" s="6">
        <f>+Salary!Q20</f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4.25" customHeight="1" x14ac:dyDescent="0.35">
      <c r="A47" s="1"/>
      <c r="B47" s="24">
        <v>45</v>
      </c>
      <c r="C47" s="1" t="s">
        <v>174</v>
      </c>
      <c r="D47" s="33" t="s">
        <v>10</v>
      </c>
      <c r="E47" s="1" t="s">
        <v>175</v>
      </c>
      <c r="F47" s="6">
        <f>+Salary!Q89</f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4.25" customHeight="1" x14ac:dyDescent="0.35">
      <c r="A48" s="1"/>
      <c r="B48" s="24">
        <v>46</v>
      </c>
      <c r="C48" s="1" t="s">
        <v>225</v>
      </c>
      <c r="D48" s="33" t="s">
        <v>10</v>
      </c>
      <c r="E48" s="1" t="s">
        <v>227</v>
      </c>
      <c r="F48" s="6">
        <f>+Salary!Q270</f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4.25" customHeight="1" x14ac:dyDescent="0.35">
      <c r="A49" s="1"/>
      <c r="B49" s="24">
        <v>47</v>
      </c>
      <c r="C49" s="1" t="s">
        <v>180</v>
      </c>
      <c r="D49" s="33" t="s">
        <v>10</v>
      </c>
      <c r="E49" s="1" t="s">
        <v>181</v>
      </c>
      <c r="F49" s="6">
        <f>+Salary!Q33</f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4.25" customHeight="1" x14ac:dyDescent="0.35">
      <c r="A50" s="1"/>
      <c r="B50" s="24">
        <v>48</v>
      </c>
      <c r="C50" s="1" t="s">
        <v>170</v>
      </c>
      <c r="D50" s="33" t="s">
        <v>10</v>
      </c>
      <c r="E50" s="33" t="s">
        <v>173</v>
      </c>
      <c r="F50" s="6">
        <f>+Salary!Q73</f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4.25" customHeight="1" x14ac:dyDescent="0.35">
      <c r="A51" s="1"/>
      <c r="B51" s="24">
        <v>49</v>
      </c>
      <c r="C51" s="1" t="s">
        <v>189</v>
      </c>
      <c r="D51" s="33" t="s">
        <v>10</v>
      </c>
      <c r="E51" s="33" t="s">
        <v>190</v>
      </c>
      <c r="F51" s="6">
        <f>+Salary!Q182</f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4.25" customHeight="1" x14ac:dyDescent="0.35">
      <c r="A52" s="1"/>
      <c r="B52" s="24">
        <v>50</v>
      </c>
      <c r="C52" s="1" t="s">
        <v>182</v>
      </c>
      <c r="D52" s="33" t="s">
        <v>10</v>
      </c>
      <c r="E52" s="33" t="s">
        <v>186</v>
      </c>
      <c r="F52" s="6">
        <f>+Salary!Q214</f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4.25" customHeight="1" x14ac:dyDescent="0.35">
      <c r="A53" s="1"/>
      <c r="B53" s="24">
        <v>51</v>
      </c>
      <c r="C53" s="1" t="s">
        <v>196</v>
      </c>
      <c r="D53" s="33" t="s">
        <v>10</v>
      </c>
      <c r="E53" s="33" t="s">
        <v>198</v>
      </c>
      <c r="F53" s="6">
        <f>+Salary!Q119</f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4.25" customHeight="1" x14ac:dyDescent="0.35">
      <c r="A54" s="1"/>
      <c r="B54" s="24">
        <v>52</v>
      </c>
      <c r="C54" s="1" t="s">
        <v>199</v>
      </c>
      <c r="D54" s="125" t="s">
        <v>10</v>
      </c>
      <c r="E54" s="125" t="s">
        <v>202</v>
      </c>
      <c r="F54" s="6">
        <f>+Salary!Q82</f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4.25" customHeight="1" x14ac:dyDescent="0.35">
      <c r="A55" s="1"/>
      <c r="B55" s="24">
        <v>53</v>
      </c>
      <c r="C55" s="1" t="s">
        <v>204</v>
      </c>
      <c r="D55" s="33" t="s">
        <v>10</v>
      </c>
      <c r="E55" s="33" t="s">
        <v>205</v>
      </c>
      <c r="F55" s="6">
        <f>+Salary!Q236</f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4.25" customHeight="1" x14ac:dyDescent="0.35">
      <c r="A56" s="1"/>
      <c r="B56" s="24">
        <v>54</v>
      </c>
      <c r="C56" s="1" t="s">
        <v>207</v>
      </c>
      <c r="D56" s="33" t="s">
        <v>10</v>
      </c>
      <c r="E56" s="33" t="s">
        <v>208</v>
      </c>
      <c r="F56" s="6">
        <f>+Salary!Q228</f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4.25" customHeight="1" x14ac:dyDescent="0.35">
      <c r="A57" s="1"/>
      <c r="B57" s="24">
        <v>55</v>
      </c>
      <c r="C57" s="1" t="s">
        <v>112</v>
      </c>
      <c r="D57" s="33" t="s">
        <v>10</v>
      </c>
      <c r="E57" s="33" t="s">
        <v>212</v>
      </c>
      <c r="F57" s="6">
        <f>+Salary!Q14</f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4.25" customHeight="1" x14ac:dyDescent="0.35">
      <c r="A58" s="1"/>
      <c r="B58" s="24">
        <v>56</v>
      </c>
      <c r="C58" s="1" t="s">
        <v>217</v>
      </c>
      <c r="D58" s="33" t="s">
        <v>10</v>
      </c>
      <c r="E58" s="33" t="s">
        <v>218</v>
      </c>
      <c r="F58" s="6">
        <f>+Salary!Q180</f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4.25" customHeight="1" x14ac:dyDescent="0.35">
      <c r="A59" s="1"/>
      <c r="B59" s="24">
        <v>57</v>
      </c>
      <c r="C59" s="1" t="s">
        <v>241</v>
      </c>
      <c r="D59" s="125" t="s">
        <v>136</v>
      </c>
      <c r="E59" s="125" t="s">
        <v>242</v>
      </c>
      <c r="F59" s="6">
        <f>+Salary!Q23</f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4.25" customHeight="1" x14ac:dyDescent="0.35">
      <c r="A60" s="1"/>
      <c r="B60" s="24">
        <v>58</v>
      </c>
      <c r="C60" s="1" t="s">
        <v>232</v>
      </c>
      <c r="D60" s="33" t="s">
        <v>10</v>
      </c>
      <c r="E60" s="33" t="s">
        <v>233</v>
      </c>
      <c r="F60" s="6">
        <f>+Salary!Q116</f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4.25" customHeight="1" x14ac:dyDescent="0.35">
      <c r="A61" s="1"/>
      <c r="B61" s="24">
        <v>59</v>
      </c>
      <c r="C61" s="1" t="s">
        <v>288</v>
      </c>
      <c r="D61" s="33" t="s">
        <v>10</v>
      </c>
      <c r="E61" s="33" t="s">
        <v>289</v>
      </c>
      <c r="F61" s="6">
        <f>+Salary!Q187</f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4.25" customHeight="1" x14ac:dyDescent="0.35">
      <c r="A62" s="1"/>
      <c r="B62" s="24">
        <v>60</v>
      </c>
      <c r="C62" s="1" t="s">
        <v>236</v>
      </c>
      <c r="D62" s="33" t="s">
        <v>10</v>
      </c>
      <c r="E62" s="33" t="s">
        <v>240</v>
      </c>
      <c r="F62" s="6">
        <f>+Salary!Q92</f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4.25" customHeight="1" x14ac:dyDescent="0.35">
      <c r="A63" s="1"/>
      <c r="B63" s="24">
        <v>61</v>
      </c>
      <c r="C63" s="1" t="s">
        <v>246</v>
      </c>
      <c r="D63" s="33" t="s">
        <v>10</v>
      </c>
      <c r="E63" s="33" t="s">
        <v>247</v>
      </c>
      <c r="F63" s="6">
        <f>+Salary!Q121</f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4.25" customHeight="1" x14ac:dyDescent="0.35">
      <c r="A64" s="1"/>
      <c r="B64" s="24">
        <v>62</v>
      </c>
      <c r="C64" s="1" t="s">
        <v>258</v>
      </c>
      <c r="D64" s="125" t="s">
        <v>136</v>
      </c>
      <c r="E64" s="125" t="s">
        <v>260</v>
      </c>
      <c r="F64" s="6">
        <f>+Salary!Q196</f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4.25" customHeight="1" x14ac:dyDescent="0.35">
      <c r="A65" s="1"/>
      <c r="B65" s="24">
        <v>63</v>
      </c>
      <c r="C65" s="1" t="s">
        <v>253</v>
      </c>
      <c r="D65" s="33" t="s">
        <v>10</v>
      </c>
      <c r="E65" s="33" t="s">
        <v>254</v>
      </c>
      <c r="F65" s="6">
        <f>+Salary!Q231</f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4.25" customHeight="1" x14ac:dyDescent="0.35">
      <c r="A66" s="1"/>
      <c r="B66" s="24">
        <v>64</v>
      </c>
      <c r="C66" s="1" t="s">
        <v>249</v>
      </c>
      <c r="D66" s="33" t="s">
        <v>10</v>
      </c>
      <c r="E66" s="33" t="s">
        <v>252</v>
      </c>
      <c r="F66" s="6">
        <f>+Salary!Q230</f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4.25" customHeight="1" x14ac:dyDescent="0.35">
      <c r="A67" s="1"/>
      <c r="B67" s="24">
        <v>65</v>
      </c>
      <c r="C67" s="1" t="s">
        <v>320</v>
      </c>
      <c r="D67" s="33" t="s">
        <v>10</v>
      </c>
      <c r="E67" s="33" t="s">
        <v>321</v>
      </c>
      <c r="F67" s="6">
        <f>+Salary!Q54</f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4.25" customHeight="1" x14ac:dyDescent="0.35">
      <c r="A68" s="1"/>
      <c r="B68" s="24">
        <v>66</v>
      </c>
      <c r="C68" s="1" t="s">
        <v>265</v>
      </c>
      <c r="D68" s="125" t="s">
        <v>136</v>
      </c>
      <c r="E68" s="125" t="s">
        <v>267</v>
      </c>
      <c r="F68" s="6">
        <f>+Salary!Q207</f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4.25" customHeight="1" x14ac:dyDescent="0.35">
      <c r="A69" s="1"/>
      <c r="B69" s="24">
        <v>67</v>
      </c>
      <c r="C69" s="1" t="s">
        <v>328</v>
      </c>
      <c r="D69" s="33" t="s">
        <v>10</v>
      </c>
      <c r="E69" s="33" t="s">
        <v>332</v>
      </c>
      <c r="F69" s="6">
        <f>+Salary!Q197</f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4.25" customHeight="1" x14ac:dyDescent="0.35">
      <c r="A70" s="1"/>
      <c r="B70" s="24">
        <v>68</v>
      </c>
      <c r="C70" s="1" t="s">
        <v>270</v>
      </c>
      <c r="D70" s="125" t="s">
        <v>10</v>
      </c>
      <c r="E70" s="125" t="s">
        <v>271</v>
      </c>
      <c r="F70" s="6">
        <f>+Salary!Q134</f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4.25" customHeight="1" x14ac:dyDescent="0.35">
      <c r="A71" s="1"/>
      <c r="B71" s="24">
        <v>69</v>
      </c>
      <c r="C71" s="1" t="s">
        <v>340</v>
      </c>
      <c r="D71" s="125" t="s">
        <v>10</v>
      </c>
      <c r="E71" s="125" t="s">
        <v>341</v>
      </c>
      <c r="F71" s="6">
        <f>+Salary!Q128</f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4.25" customHeight="1" x14ac:dyDescent="0.35">
      <c r="A72" s="1"/>
      <c r="B72" s="24">
        <v>70</v>
      </c>
      <c r="C72" s="1" t="s">
        <v>275</v>
      </c>
      <c r="D72" s="125" t="s">
        <v>10</v>
      </c>
      <c r="E72" s="125" t="s">
        <v>276</v>
      </c>
      <c r="F72" s="6">
        <f>+Salary!Q139</f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4.25" customHeight="1" x14ac:dyDescent="0.35">
      <c r="A73" s="1"/>
      <c r="B73" s="24">
        <v>71</v>
      </c>
      <c r="C73" s="1" t="s">
        <v>347</v>
      </c>
      <c r="D73" s="125" t="s">
        <v>10</v>
      </c>
      <c r="E73" s="125" t="s">
        <v>348</v>
      </c>
      <c r="F73" s="6">
        <f>+Salary!Q154</f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4.25" customHeight="1" x14ac:dyDescent="0.35">
      <c r="A74" s="1"/>
      <c r="B74" s="24">
        <v>72</v>
      </c>
      <c r="C74" s="1" t="s">
        <v>278</v>
      </c>
      <c r="D74" s="125" t="s">
        <v>10</v>
      </c>
      <c r="E74" s="125" t="s">
        <v>281</v>
      </c>
      <c r="F74" s="6">
        <f>+Salary!Q229</f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4.25" customHeight="1" x14ac:dyDescent="0.35">
      <c r="A75" s="1"/>
      <c r="B75" s="24">
        <v>73</v>
      </c>
      <c r="C75" s="1" t="s">
        <v>262</v>
      </c>
      <c r="D75" s="33" t="s">
        <v>10</v>
      </c>
      <c r="E75" s="33" t="s">
        <v>264</v>
      </c>
      <c r="F75" s="6">
        <f>+Salary!Q130</f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4.25" customHeight="1" x14ac:dyDescent="0.35">
      <c r="A76" s="1"/>
      <c r="B76" s="24">
        <v>74</v>
      </c>
      <c r="C76" s="1" t="s">
        <v>283</v>
      </c>
      <c r="D76" s="33" t="s">
        <v>10</v>
      </c>
      <c r="E76" s="33" t="s">
        <v>284</v>
      </c>
      <c r="F76" s="6">
        <f>+Salary!Q135</f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4.25" customHeight="1" x14ac:dyDescent="0.35">
      <c r="A77" s="1"/>
      <c r="B77" s="24">
        <v>75</v>
      </c>
      <c r="C77" s="1" t="s">
        <v>293</v>
      </c>
      <c r="D77" s="125" t="s">
        <v>10</v>
      </c>
      <c r="E77" s="125" t="s">
        <v>295</v>
      </c>
      <c r="F77" s="6">
        <f>+Salary!Q44</f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4.25" customHeight="1" x14ac:dyDescent="0.35">
      <c r="A78" s="1"/>
      <c r="B78" s="24">
        <v>76</v>
      </c>
      <c r="C78" s="1" t="s">
        <v>298</v>
      </c>
      <c r="D78" s="125" t="s">
        <v>10</v>
      </c>
      <c r="E78" s="125" t="s">
        <v>299</v>
      </c>
      <c r="F78" s="6">
        <f>+Salary!Q84</f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4.25" customHeight="1" x14ac:dyDescent="0.35">
      <c r="A79" s="1"/>
      <c r="B79" s="24">
        <v>77</v>
      </c>
      <c r="C79" s="1" t="s">
        <v>368</v>
      </c>
      <c r="D79" s="125" t="s">
        <v>10</v>
      </c>
      <c r="E79" s="125" t="s">
        <v>370</v>
      </c>
      <c r="F79" s="6">
        <f>+Salary!Q199</f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4.25" customHeight="1" x14ac:dyDescent="0.35">
      <c r="A80" s="1"/>
      <c r="B80" s="24">
        <v>78</v>
      </c>
      <c r="C80" s="1" t="s">
        <v>375</v>
      </c>
      <c r="D80" s="125" t="s">
        <v>10</v>
      </c>
      <c r="E80" s="125" t="s">
        <v>376</v>
      </c>
      <c r="F80" s="6">
        <f>+Salary!Q75</f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4.25" customHeight="1" x14ac:dyDescent="0.35">
      <c r="A81" s="1"/>
      <c r="B81" s="24">
        <v>79</v>
      </c>
      <c r="C81" s="1" t="s">
        <v>300</v>
      </c>
      <c r="D81" s="125" t="s">
        <v>10</v>
      </c>
      <c r="E81" s="125" t="s">
        <v>301</v>
      </c>
      <c r="F81" s="6">
        <f>+Salary!Q232</f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4.25" customHeight="1" x14ac:dyDescent="0.35">
      <c r="A82" s="1"/>
      <c r="B82" s="24">
        <v>80</v>
      </c>
      <c r="C82" s="1" t="s">
        <v>386</v>
      </c>
      <c r="D82" s="125" t="s">
        <v>10</v>
      </c>
      <c r="E82" s="125" t="s">
        <v>387</v>
      </c>
      <c r="F82" s="6">
        <f>+Salary!Q18</f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4.25" customHeight="1" x14ac:dyDescent="0.35">
      <c r="A83" s="1"/>
      <c r="B83" s="24">
        <v>81</v>
      </c>
      <c r="C83" s="1" t="s">
        <v>392</v>
      </c>
      <c r="D83" s="125" t="s">
        <v>10</v>
      </c>
      <c r="E83" s="125" t="s">
        <v>394</v>
      </c>
      <c r="F83" s="6">
        <f>+Salary!Q97</f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4.25" customHeight="1" x14ac:dyDescent="0.35">
      <c r="A84" s="1"/>
      <c r="B84" s="24">
        <v>82</v>
      </c>
      <c r="C84" s="1" t="s">
        <v>399</v>
      </c>
      <c r="D84" s="125" t="s">
        <v>136</v>
      </c>
      <c r="E84" s="125" t="s">
        <v>400</v>
      </c>
      <c r="F84" s="6">
        <f>+Salary!Q179</f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4.25" customHeight="1" x14ac:dyDescent="0.35">
      <c r="A85" s="1"/>
      <c r="B85" s="24">
        <v>83</v>
      </c>
      <c r="C85" s="1" t="s">
        <v>361</v>
      </c>
      <c r="D85" s="125" t="s">
        <v>10</v>
      </c>
      <c r="E85" s="125" t="s">
        <v>403</v>
      </c>
      <c r="F85" s="6">
        <f>+Salary!Q52</f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4.25" customHeight="1" x14ac:dyDescent="0.35">
      <c r="A86" s="1"/>
      <c r="B86" s="24">
        <v>84</v>
      </c>
      <c r="C86" s="1" t="s">
        <v>305</v>
      </c>
      <c r="D86" s="125" t="s">
        <v>10</v>
      </c>
      <c r="E86" s="125" t="s">
        <v>306</v>
      </c>
      <c r="F86" s="6">
        <f>+Salary!Q106</f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4.25" customHeight="1" x14ac:dyDescent="0.35">
      <c r="A87" s="1"/>
      <c r="B87" s="24">
        <v>85</v>
      </c>
      <c r="C87" s="1" t="s">
        <v>307</v>
      </c>
      <c r="D87" s="126" t="s">
        <v>136</v>
      </c>
      <c r="E87" s="124" t="s">
        <v>308</v>
      </c>
      <c r="F87" s="6">
        <f>+Salary!Q201</f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4.25" customHeight="1" x14ac:dyDescent="0.35">
      <c r="A88" s="1"/>
      <c r="B88" s="24">
        <v>86</v>
      </c>
      <c r="C88" s="1" t="s">
        <v>310</v>
      </c>
      <c r="D88" s="125" t="s">
        <v>136</v>
      </c>
      <c r="E88" s="125" t="s">
        <v>311</v>
      </c>
      <c r="F88" s="6">
        <f>+Salary!Q203</f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4.25" customHeight="1" x14ac:dyDescent="0.35">
      <c r="A89" s="1"/>
      <c r="B89" s="24">
        <v>87</v>
      </c>
      <c r="C89" s="1" t="s">
        <v>312</v>
      </c>
      <c r="D89" s="33" t="s">
        <v>313</v>
      </c>
      <c r="E89" s="46" t="s">
        <v>314</v>
      </c>
      <c r="F89" s="6">
        <f>+Salary!Q192</f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4.25" customHeight="1" x14ac:dyDescent="0.35">
      <c r="A90" s="1"/>
      <c r="B90" s="24">
        <v>88</v>
      </c>
      <c r="C90" s="1" t="s">
        <v>327</v>
      </c>
      <c r="D90" s="33" t="s">
        <v>313</v>
      </c>
      <c r="E90" s="1" t="s">
        <v>329</v>
      </c>
      <c r="F90" s="6">
        <f>+Salary!Q107</f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4.25" customHeight="1" x14ac:dyDescent="0.35">
      <c r="A91" s="1"/>
      <c r="B91" s="24">
        <v>89</v>
      </c>
      <c r="C91" s="1" t="s">
        <v>333</v>
      </c>
      <c r="D91" s="33" t="s">
        <v>313</v>
      </c>
      <c r="E91" s="1" t="s">
        <v>334</v>
      </c>
      <c r="F91" s="6">
        <f>+Salary!Q185</f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4.25" customHeight="1" x14ac:dyDescent="0.35">
      <c r="A92" s="1"/>
      <c r="B92" s="24">
        <v>90</v>
      </c>
      <c r="C92" s="1" t="s">
        <v>335</v>
      </c>
      <c r="D92" s="33" t="s">
        <v>313</v>
      </c>
      <c r="E92" s="1" t="s">
        <v>337</v>
      </c>
      <c r="F92" s="6">
        <f>+Salary!Q152</f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4.25" customHeight="1" x14ac:dyDescent="0.35">
      <c r="A93" s="1"/>
      <c r="B93" s="24">
        <v>91</v>
      </c>
      <c r="C93" s="1" t="s">
        <v>342</v>
      </c>
      <c r="D93" s="33" t="s">
        <v>313</v>
      </c>
      <c r="E93" s="46" t="s">
        <v>343</v>
      </c>
      <c r="F93" s="6">
        <f>+Salary!Q216</f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4.25" customHeight="1" x14ac:dyDescent="0.35">
      <c r="A94" s="1"/>
      <c r="B94" s="24">
        <v>92</v>
      </c>
      <c r="C94" s="1" t="s">
        <v>344</v>
      </c>
      <c r="D94" s="33" t="s">
        <v>313</v>
      </c>
      <c r="E94" s="33">
        <v>6005849274</v>
      </c>
      <c r="F94" s="6">
        <f>+Salary!Q85</f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4.25" customHeight="1" x14ac:dyDescent="0.35">
      <c r="A95" s="1"/>
      <c r="B95" s="24">
        <v>93</v>
      </c>
      <c r="C95" s="1" t="s">
        <v>346</v>
      </c>
      <c r="D95" s="1" t="s">
        <v>313</v>
      </c>
      <c r="E95" s="33" t="s">
        <v>349</v>
      </c>
      <c r="F95" s="6">
        <f>+Salary!Q235</f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4.25" customHeight="1" x14ac:dyDescent="0.35">
      <c r="A96" s="1"/>
      <c r="B96" s="24">
        <v>94</v>
      </c>
      <c r="C96" s="1" t="s">
        <v>353</v>
      </c>
      <c r="D96" s="1" t="s">
        <v>10</v>
      </c>
      <c r="E96" s="46" t="s">
        <v>354</v>
      </c>
      <c r="F96" s="6">
        <f>+Salary!Q80</f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4.25" customHeight="1" x14ac:dyDescent="0.35">
      <c r="A97" s="1"/>
      <c r="B97" s="24">
        <v>95</v>
      </c>
      <c r="C97" s="1" t="s">
        <v>358</v>
      </c>
      <c r="D97" s="1" t="s">
        <v>313</v>
      </c>
      <c r="E97" s="46">
        <v>6006151580</v>
      </c>
      <c r="F97" s="6">
        <f>+Salary!Q137</f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4.25" customHeight="1" x14ac:dyDescent="0.35">
      <c r="A98" s="1"/>
      <c r="B98" s="24">
        <v>96</v>
      </c>
      <c r="C98" s="1" t="s">
        <v>360</v>
      </c>
      <c r="D98" s="1" t="s">
        <v>313</v>
      </c>
      <c r="E98" s="46">
        <v>6008615347</v>
      </c>
      <c r="F98" s="6">
        <f>+Salary!Q62</f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4.25" customHeight="1" x14ac:dyDescent="0.35">
      <c r="A99" s="1"/>
      <c r="B99" s="24">
        <v>97</v>
      </c>
      <c r="C99" s="33" t="s">
        <v>363</v>
      </c>
      <c r="D99" s="33" t="s">
        <v>313</v>
      </c>
      <c r="E99" s="33" t="s">
        <v>364</v>
      </c>
      <c r="F99" s="6">
        <f>+Salary!Q145</f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4.25" customHeight="1" x14ac:dyDescent="0.35">
      <c r="A100" s="1"/>
      <c r="B100" s="24">
        <v>98</v>
      </c>
      <c r="C100" s="33" t="s">
        <v>59</v>
      </c>
      <c r="D100" s="33" t="s">
        <v>313</v>
      </c>
      <c r="E100" s="33">
        <v>6008586126</v>
      </c>
      <c r="F100" s="6">
        <f>+Salary!Q9</f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4.25" customHeight="1" x14ac:dyDescent="0.35">
      <c r="A101" s="1"/>
      <c r="B101" s="24">
        <v>100</v>
      </c>
      <c r="C101" s="1" t="s">
        <v>382</v>
      </c>
      <c r="D101" s="33" t="s">
        <v>378</v>
      </c>
      <c r="E101" s="46" t="s">
        <v>383</v>
      </c>
      <c r="F101" s="6">
        <f>+Salary!Q148</f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4.25" customHeight="1" x14ac:dyDescent="0.35">
      <c r="A102" s="1"/>
      <c r="B102" s="24">
        <v>101</v>
      </c>
      <c r="C102" s="1" t="s">
        <v>377</v>
      </c>
      <c r="D102" s="33" t="s">
        <v>378</v>
      </c>
      <c r="E102" s="46" t="s">
        <v>379</v>
      </c>
      <c r="F102" s="6">
        <f>+Salary!Q198</f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4.25" customHeight="1" x14ac:dyDescent="0.35">
      <c r="A103" s="1"/>
      <c r="B103" s="24">
        <v>102</v>
      </c>
      <c r="C103" s="1" t="s">
        <v>384</v>
      </c>
      <c r="D103" s="33" t="s">
        <v>378</v>
      </c>
      <c r="E103" s="46" t="s">
        <v>389</v>
      </c>
      <c r="F103" s="6">
        <f>+Salary!Q225</f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4.25" customHeight="1" x14ac:dyDescent="0.35">
      <c r="A104" s="1"/>
      <c r="B104" s="24">
        <v>103</v>
      </c>
      <c r="C104" s="1" t="s">
        <v>280</v>
      </c>
      <c r="D104" s="125" t="s">
        <v>136</v>
      </c>
      <c r="E104" s="144" t="s">
        <v>483</v>
      </c>
      <c r="F104" s="6">
        <f>+Salary!Q39</f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4.25" customHeight="1" x14ac:dyDescent="0.35">
      <c r="A105" s="1"/>
      <c r="B105" s="24">
        <v>104</v>
      </c>
      <c r="C105" s="1" t="s">
        <v>391</v>
      </c>
      <c r="D105" s="33" t="s">
        <v>378</v>
      </c>
      <c r="E105" s="46" t="s">
        <v>393</v>
      </c>
      <c r="F105" s="6">
        <f>+Salary!Q140</f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4.25" customHeight="1" x14ac:dyDescent="0.35">
      <c r="A106" s="1"/>
      <c r="B106" s="24">
        <v>105</v>
      </c>
      <c r="C106" s="1" t="s">
        <v>398</v>
      </c>
      <c r="D106" s="33" t="s">
        <v>378</v>
      </c>
      <c r="E106" s="1" t="s">
        <v>401</v>
      </c>
      <c r="F106" s="6">
        <f>+Salary!Q244</f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4.25" customHeight="1" x14ac:dyDescent="0.35">
      <c r="A107" s="1"/>
      <c r="B107" s="24">
        <v>106</v>
      </c>
      <c r="C107" s="1" t="s">
        <v>402</v>
      </c>
      <c r="D107" s="33" t="s">
        <v>378</v>
      </c>
      <c r="E107" s="1" t="s">
        <v>404</v>
      </c>
      <c r="F107" s="6">
        <f>+Salary!Q241</f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4.25" customHeight="1" x14ac:dyDescent="0.35">
      <c r="A108" s="1"/>
      <c r="B108" s="24">
        <v>107</v>
      </c>
      <c r="C108" s="1" t="s">
        <v>411</v>
      </c>
      <c r="D108" s="33" t="s">
        <v>378</v>
      </c>
      <c r="E108" s="46" t="s">
        <v>413</v>
      </c>
      <c r="F108" s="6">
        <f>+Salary!Q164</f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4.25" customHeight="1" x14ac:dyDescent="0.35">
      <c r="A109" s="1"/>
      <c r="B109" s="24">
        <v>108</v>
      </c>
      <c r="C109" s="121" t="s">
        <v>86</v>
      </c>
      <c r="D109" s="33" t="s">
        <v>378</v>
      </c>
      <c r="E109" s="1" t="s">
        <v>408</v>
      </c>
      <c r="F109" s="6">
        <f>+Salary!Q11</f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4.25" customHeight="1" x14ac:dyDescent="0.35">
      <c r="A110" s="1"/>
      <c r="B110" s="24">
        <v>109</v>
      </c>
      <c r="C110" s="1" t="s">
        <v>414</v>
      </c>
      <c r="D110" s="33" t="s">
        <v>378</v>
      </c>
      <c r="E110" s="46">
        <v>9030017593802</v>
      </c>
      <c r="F110" s="6">
        <f>+Salary!Q243</f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4.25" customHeight="1" x14ac:dyDescent="0.35">
      <c r="A111" s="1"/>
      <c r="B111" s="24">
        <v>110</v>
      </c>
      <c r="C111" s="1" t="s">
        <v>74</v>
      </c>
      <c r="D111" s="33" t="s">
        <v>378</v>
      </c>
      <c r="E111" s="46">
        <v>9030018850310</v>
      </c>
      <c r="F111" s="6">
        <f>+Salary!Q10</f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4.25" customHeight="1" x14ac:dyDescent="0.35">
      <c r="A112" s="1"/>
      <c r="B112" s="24">
        <v>111</v>
      </c>
      <c r="C112" s="1" t="s">
        <v>250</v>
      </c>
      <c r="D112" s="33" t="s">
        <v>378</v>
      </c>
      <c r="E112" s="46">
        <v>9030016406928</v>
      </c>
      <c r="F112" s="6">
        <f>+Salary!Q34</f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4.25" customHeight="1" x14ac:dyDescent="0.35">
      <c r="A113" s="1"/>
      <c r="B113" s="24">
        <v>112</v>
      </c>
      <c r="C113" s="1" t="s">
        <v>419</v>
      </c>
      <c r="D113" s="33" t="s">
        <v>378</v>
      </c>
      <c r="E113" s="46" t="s">
        <v>420</v>
      </c>
      <c r="F113" s="6">
        <f>+Salary!Q176</f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4.25" customHeight="1" x14ac:dyDescent="0.35">
      <c r="A114" s="1"/>
      <c r="B114" s="24">
        <v>113</v>
      </c>
      <c r="C114" s="1" t="s">
        <v>421</v>
      </c>
      <c r="D114" s="33" t="s">
        <v>378</v>
      </c>
      <c r="E114" s="46" t="s">
        <v>422</v>
      </c>
      <c r="F114" s="6">
        <f>+Salary!Q211</f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4.25" customHeight="1" x14ac:dyDescent="0.35">
      <c r="A115" s="1"/>
      <c r="B115" s="24">
        <v>114</v>
      </c>
      <c r="C115" s="1" t="s">
        <v>331</v>
      </c>
      <c r="D115" s="33" t="s">
        <v>378</v>
      </c>
      <c r="E115" s="46" t="s">
        <v>425</v>
      </c>
      <c r="F115" s="6">
        <f>+Salary!Q47</f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4.25" customHeight="1" x14ac:dyDescent="0.35">
      <c r="A116" s="1"/>
      <c r="B116" s="24">
        <v>115</v>
      </c>
      <c r="C116" s="1" t="s">
        <v>426</v>
      </c>
      <c r="D116" s="33" t="s">
        <v>378</v>
      </c>
      <c r="E116" s="46" t="s">
        <v>427</v>
      </c>
      <c r="F116" s="6">
        <f>+Salary!Q184</f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4.25" customHeight="1" x14ac:dyDescent="0.35">
      <c r="A117" s="1"/>
      <c r="B117" s="24">
        <v>116</v>
      </c>
      <c r="C117" s="1" t="s">
        <v>530</v>
      </c>
      <c r="D117" s="33" t="s">
        <v>378</v>
      </c>
      <c r="E117" s="46" t="s">
        <v>532</v>
      </c>
      <c r="F117" s="6">
        <f>+Salary!Q268</f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4.25" customHeight="1" x14ac:dyDescent="0.35">
      <c r="A118" s="1"/>
      <c r="B118" s="24">
        <v>117</v>
      </c>
      <c r="C118" s="1" t="s">
        <v>536</v>
      </c>
      <c r="D118" s="33" t="s">
        <v>378</v>
      </c>
      <c r="E118" s="46" t="s">
        <v>538</v>
      </c>
      <c r="F118" s="6">
        <f>+Salary!Q81</f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4.25" customHeight="1" x14ac:dyDescent="0.35">
      <c r="A119" s="1"/>
      <c r="B119" s="24">
        <v>118</v>
      </c>
      <c r="C119" s="1" t="s">
        <v>433</v>
      </c>
      <c r="D119" s="33" t="s">
        <v>378</v>
      </c>
      <c r="E119" s="46" t="s">
        <v>434</v>
      </c>
      <c r="F119" s="6">
        <f>+Salary!Q223</f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4.25" customHeight="1" x14ac:dyDescent="0.35">
      <c r="A120" s="1"/>
      <c r="B120" s="24">
        <v>119</v>
      </c>
      <c r="C120" s="1" t="s">
        <v>435</v>
      </c>
      <c r="D120" s="33" t="s">
        <v>378</v>
      </c>
      <c r="E120" s="46" t="s">
        <v>436</v>
      </c>
      <c r="F120" s="6">
        <f>+Salary!Q239</f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4.25" customHeight="1" x14ac:dyDescent="0.35">
      <c r="A121" s="1"/>
      <c r="B121" s="24">
        <v>120</v>
      </c>
      <c r="C121" s="1" t="s">
        <v>440</v>
      </c>
      <c r="D121" s="125" t="s">
        <v>378</v>
      </c>
      <c r="E121" s="144" t="s">
        <v>441</v>
      </c>
      <c r="F121" s="6">
        <f>+Salary!Q205</f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4.25" customHeight="1" x14ac:dyDescent="0.35">
      <c r="A122" s="1"/>
      <c r="B122" s="24">
        <v>121</v>
      </c>
      <c r="C122" s="1" t="s">
        <v>442</v>
      </c>
      <c r="D122" s="125" t="s">
        <v>378</v>
      </c>
      <c r="E122" s="144" t="s">
        <v>443</v>
      </c>
      <c r="F122" s="6">
        <f>+Salary!Q181</f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4.25" customHeight="1" x14ac:dyDescent="0.35">
      <c r="A123" s="1"/>
      <c r="B123" s="24">
        <v>122</v>
      </c>
      <c r="C123" s="26" t="s">
        <v>553</v>
      </c>
      <c r="D123" s="125" t="s">
        <v>378</v>
      </c>
      <c r="E123" s="144" t="s">
        <v>449</v>
      </c>
      <c r="F123" s="32">
        <f>+Salary!Q125</f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4.25" customHeight="1" x14ac:dyDescent="0.35">
      <c r="A124" s="1"/>
      <c r="B124" s="24">
        <v>123</v>
      </c>
      <c r="C124" s="26" t="s">
        <v>559</v>
      </c>
      <c r="D124" s="125" t="s">
        <v>378</v>
      </c>
      <c r="E124" s="144" t="s">
        <v>561</v>
      </c>
      <c r="F124" s="32">
        <f>+Salary!Q108</f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4.25" customHeight="1" x14ac:dyDescent="0.35">
      <c r="A125" s="1"/>
      <c r="B125" s="24">
        <v>124</v>
      </c>
      <c r="C125" s="1" t="s">
        <v>453</v>
      </c>
      <c r="D125" s="1" t="s">
        <v>454</v>
      </c>
      <c r="E125" s="1" t="s">
        <v>455</v>
      </c>
      <c r="F125" s="6">
        <f>+Salary!Q213</f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4.25" customHeight="1" x14ac:dyDescent="0.35">
      <c r="A126" s="1"/>
      <c r="B126" s="24">
        <v>125</v>
      </c>
      <c r="C126" s="1" t="s">
        <v>459</v>
      </c>
      <c r="D126" s="1" t="s">
        <v>454</v>
      </c>
      <c r="E126" s="46">
        <v>1002101027700</v>
      </c>
      <c r="F126" s="6">
        <f>+Salary!Q57</f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4.25" customHeight="1" x14ac:dyDescent="0.35">
      <c r="A127" s="1"/>
      <c r="B127" s="24">
        <v>126</v>
      </c>
      <c r="C127" s="33" t="s">
        <v>460</v>
      </c>
      <c r="D127" s="1" t="s">
        <v>454</v>
      </c>
      <c r="E127" s="117" t="s">
        <v>461</v>
      </c>
      <c r="F127" s="118">
        <f>+Salary!Q86</f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4.25" customHeight="1" x14ac:dyDescent="0.35">
      <c r="A128" s="1"/>
      <c r="B128" s="24">
        <v>127</v>
      </c>
      <c r="C128" s="1" t="s">
        <v>465</v>
      </c>
      <c r="D128" s="33" t="s">
        <v>454</v>
      </c>
      <c r="E128" s="46" t="s">
        <v>466</v>
      </c>
      <c r="F128" s="6">
        <f>+Salary!Q74</f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4.25" customHeight="1" x14ac:dyDescent="0.35">
      <c r="A129" s="1"/>
      <c r="B129" s="24">
        <v>128</v>
      </c>
      <c r="C129" s="33" t="s">
        <v>578</v>
      </c>
      <c r="D129" s="1" t="s">
        <v>454</v>
      </c>
      <c r="E129" s="1" t="s">
        <v>468</v>
      </c>
      <c r="F129" s="6">
        <f>+Salary!Q147</f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4.25" customHeight="1" x14ac:dyDescent="0.35">
      <c r="A130" s="1"/>
      <c r="B130" s="24">
        <v>129</v>
      </c>
      <c r="C130" s="1" t="s">
        <v>582</v>
      </c>
      <c r="D130" s="1" t="s">
        <v>454</v>
      </c>
      <c r="E130" s="1" t="s">
        <v>585</v>
      </c>
      <c r="F130" s="6">
        <f>+Salary!Q126</f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4.25" customHeight="1" x14ac:dyDescent="0.35">
      <c r="A131" s="1"/>
      <c r="B131" s="24">
        <v>130</v>
      </c>
      <c r="C131" s="1" t="s">
        <v>476</v>
      </c>
      <c r="D131" s="1" t="s">
        <v>454</v>
      </c>
      <c r="E131" s="1" t="s">
        <v>591</v>
      </c>
      <c r="F131" s="6">
        <f>+Salary!Q70</f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4.25" customHeight="1" x14ac:dyDescent="0.35">
      <c r="A132" s="1"/>
      <c r="B132" s="24">
        <v>131</v>
      </c>
      <c r="C132" s="1" t="s">
        <v>150</v>
      </c>
      <c r="D132" s="1" t="s">
        <v>454</v>
      </c>
      <c r="E132" s="46" t="s">
        <v>472</v>
      </c>
      <c r="F132" s="6">
        <f>+Salary!Q19</f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4.25" customHeight="1" x14ac:dyDescent="0.35">
      <c r="A133" s="1"/>
      <c r="B133" s="24">
        <v>132</v>
      </c>
      <c r="C133" s="1" t="s">
        <v>604</v>
      </c>
      <c r="D133" s="1" t="s">
        <v>454</v>
      </c>
      <c r="E133" s="46">
        <v>1044101025057</v>
      </c>
      <c r="F133" s="6">
        <f>+Salary!Q61</f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4.25" customHeight="1" x14ac:dyDescent="0.35">
      <c r="A134" s="1"/>
      <c r="B134" s="24">
        <v>133</v>
      </c>
      <c r="C134" s="1" t="s">
        <v>120</v>
      </c>
      <c r="D134" s="1" t="s">
        <v>454</v>
      </c>
      <c r="E134" s="46">
        <v>1004102602398</v>
      </c>
      <c r="F134" s="6">
        <f>+Salary!Q15</f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4.25" customHeight="1" x14ac:dyDescent="0.35">
      <c r="A135" s="1"/>
      <c r="B135" s="24">
        <v>134</v>
      </c>
      <c r="C135" s="1" t="s">
        <v>473</v>
      </c>
      <c r="D135" s="1" t="s">
        <v>454</v>
      </c>
      <c r="E135" s="1" t="s">
        <v>474</v>
      </c>
      <c r="F135" s="6">
        <f>+Salary!Q67</f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4.25" customHeight="1" x14ac:dyDescent="0.35">
      <c r="A136" s="1"/>
      <c r="B136" s="24">
        <v>135</v>
      </c>
      <c r="C136" s="1" t="s">
        <v>612</v>
      </c>
      <c r="D136" s="164" t="s">
        <v>136</v>
      </c>
      <c r="E136" s="164" t="s">
        <v>616</v>
      </c>
      <c r="F136" s="6">
        <f>+Salary!Q114</f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4.25" customHeight="1" x14ac:dyDescent="0.35">
      <c r="A137" s="1"/>
      <c r="B137" s="24">
        <v>136</v>
      </c>
      <c r="C137" s="1" t="s">
        <v>388</v>
      </c>
      <c r="D137" s="1" t="s">
        <v>454</v>
      </c>
      <c r="E137" s="46" t="s">
        <v>478</v>
      </c>
      <c r="F137" s="6">
        <f>+Salary!Q56</f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4.25" customHeight="1" x14ac:dyDescent="0.35">
      <c r="A138" s="1"/>
      <c r="B138" s="24">
        <v>137</v>
      </c>
      <c r="C138" s="1" t="s">
        <v>482</v>
      </c>
      <c r="D138" s="1" t="s">
        <v>454</v>
      </c>
      <c r="E138" s="46" t="s">
        <v>484</v>
      </c>
      <c r="F138" s="6">
        <f>+Salary!Q124</f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4.25" customHeight="1" x14ac:dyDescent="0.35">
      <c r="A139" s="1"/>
      <c r="B139" s="24">
        <v>138</v>
      </c>
      <c r="C139" s="1" t="s">
        <v>229</v>
      </c>
      <c r="D139" s="1" t="s">
        <v>454</v>
      </c>
      <c r="E139" s="46" t="s">
        <v>481</v>
      </c>
      <c r="F139" s="6">
        <f>+Salary!Q30</f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4.25" customHeight="1" x14ac:dyDescent="0.35">
      <c r="A140" s="1"/>
      <c r="B140" s="24">
        <v>139</v>
      </c>
      <c r="C140" s="1" t="s">
        <v>406</v>
      </c>
      <c r="D140" s="1" t="s">
        <v>454</v>
      </c>
      <c r="E140" s="46" t="s">
        <v>489</v>
      </c>
      <c r="F140" s="6">
        <f>+Salary!Q58</f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4.25" customHeight="1" x14ac:dyDescent="0.35">
      <c r="A141" s="1"/>
      <c r="B141" s="24">
        <v>140</v>
      </c>
      <c r="C141" s="1" t="s">
        <v>490</v>
      </c>
      <c r="D141" s="1" t="s">
        <v>454</v>
      </c>
      <c r="E141" s="46" t="s">
        <v>491</v>
      </c>
      <c r="F141" s="6">
        <f>+Salary!Q227</f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4.25" customHeight="1" x14ac:dyDescent="0.35">
      <c r="A142" s="1"/>
      <c r="B142" s="24">
        <v>141</v>
      </c>
      <c r="C142" s="1" t="s">
        <v>496</v>
      </c>
      <c r="D142" s="1" t="s">
        <v>454</v>
      </c>
      <c r="E142" s="46" t="s">
        <v>498</v>
      </c>
      <c r="F142" s="6">
        <f>+Salary!Q42</f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4.25" customHeight="1" x14ac:dyDescent="0.35">
      <c r="A143" s="1"/>
      <c r="B143" s="24">
        <v>142</v>
      </c>
      <c r="C143" s="1" t="s">
        <v>632</v>
      </c>
      <c r="D143" s="164" t="s">
        <v>454</v>
      </c>
      <c r="E143" s="144" t="s">
        <v>634</v>
      </c>
      <c r="F143" s="6">
        <f>+Salary!Q138</f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4.25" customHeight="1" x14ac:dyDescent="0.35">
      <c r="A144" s="1"/>
      <c r="B144" s="24">
        <v>143</v>
      </c>
      <c r="C144" s="1" t="s">
        <v>638</v>
      </c>
      <c r="D144" s="164" t="s">
        <v>454</v>
      </c>
      <c r="E144" s="144" t="s">
        <v>639</v>
      </c>
      <c r="F144" s="6">
        <f>+Salary!Q155</f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4.25" customHeight="1" x14ac:dyDescent="0.35">
      <c r="A145" s="1"/>
      <c r="B145" s="24">
        <v>144</v>
      </c>
      <c r="C145" s="1" t="s">
        <v>235</v>
      </c>
      <c r="D145" s="164" t="s">
        <v>454</v>
      </c>
      <c r="E145" s="144" t="s">
        <v>500</v>
      </c>
      <c r="F145" s="6">
        <f>+Salary!Q31</f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4.25" customHeight="1" x14ac:dyDescent="0.35">
      <c r="A146" s="1"/>
      <c r="B146" s="24">
        <v>145</v>
      </c>
      <c r="C146" s="1" t="s">
        <v>648</v>
      </c>
      <c r="D146" s="164" t="s">
        <v>454</v>
      </c>
      <c r="E146" s="144" t="s">
        <v>649</v>
      </c>
      <c r="F146" s="6">
        <f>+Salary!Q169</f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4.25" customHeight="1" x14ac:dyDescent="0.35">
      <c r="A147" s="1"/>
      <c r="B147" s="24">
        <v>146</v>
      </c>
      <c r="C147" s="1" t="s">
        <v>273</v>
      </c>
      <c r="D147" s="164" t="s">
        <v>454</v>
      </c>
      <c r="E147" s="144" t="s">
        <v>654</v>
      </c>
      <c r="F147" s="6">
        <f>+Salary!Q38</f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4.25" customHeight="1" x14ac:dyDescent="0.35">
      <c r="A148" s="1"/>
      <c r="B148" s="24">
        <v>147</v>
      </c>
      <c r="C148" s="1" t="s">
        <v>501</v>
      </c>
      <c r="D148" s="164" t="s">
        <v>136</v>
      </c>
      <c r="E148" s="144" t="s">
        <v>502</v>
      </c>
      <c r="F148" s="6">
        <f>+Salary!Q153</f>
        <v>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4.25" customHeight="1" x14ac:dyDescent="0.35">
      <c r="A149" s="1"/>
      <c r="B149" s="24">
        <v>148</v>
      </c>
      <c r="C149" s="1" t="s">
        <v>366</v>
      </c>
      <c r="D149" s="164" t="s">
        <v>454</v>
      </c>
      <c r="E149" s="144" t="s">
        <v>504</v>
      </c>
      <c r="F149" s="6">
        <f>+Salary!Q53</f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4.25" customHeight="1" x14ac:dyDescent="0.35">
      <c r="A150" s="1"/>
      <c r="B150" s="24">
        <v>149</v>
      </c>
      <c r="C150" s="177" t="s">
        <v>505</v>
      </c>
      <c r="D150" s="125" t="s">
        <v>454</v>
      </c>
      <c r="E150" s="144" t="s">
        <v>506</v>
      </c>
      <c r="F150" s="6">
        <f>+Salary!Q112</f>
        <v>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4.25" customHeight="1" x14ac:dyDescent="0.35">
      <c r="A151" s="1"/>
      <c r="B151" s="24">
        <v>150</v>
      </c>
      <c r="C151" s="177" t="s">
        <v>231</v>
      </c>
      <c r="D151" s="125" t="s">
        <v>454</v>
      </c>
      <c r="E151" s="144" t="s">
        <v>510</v>
      </c>
      <c r="F151" s="6">
        <f>+Salary!Q93</f>
        <v>0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4.25" customHeight="1" x14ac:dyDescent="0.35">
      <c r="A152" s="1"/>
      <c r="B152" s="24">
        <v>151</v>
      </c>
      <c r="C152" s="1" t="s">
        <v>316</v>
      </c>
      <c r="D152" s="33" t="s">
        <v>512</v>
      </c>
      <c r="E152" s="33">
        <v>9520015700</v>
      </c>
      <c r="F152" s="6">
        <f>+Salary!Q45</f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4.25" customHeight="1" x14ac:dyDescent="0.35">
      <c r="A153" s="1"/>
      <c r="B153" s="24">
        <v>152</v>
      </c>
      <c r="C153" s="33" t="s">
        <v>669</v>
      </c>
      <c r="D153" s="33" t="s">
        <v>512</v>
      </c>
      <c r="E153" s="117" t="s">
        <v>670</v>
      </c>
      <c r="F153" s="6">
        <f>+Salary!Q217</f>
        <v>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4.25" customHeight="1" x14ac:dyDescent="0.35">
      <c r="A154" s="1"/>
      <c r="B154" s="24">
        <v>153</v>
      </c>
      <c r="C154" s="1" t="s">
        <v>373</v>
      </c>
      <c r="D154" s="33" t="s">
        <v>512</v>
      </c>
      <c r="E154" s="1" t="s">
        <v>675</v>
      </c>
      <c r="F154" s="118">
        <f>+Salary!Q233</f>
        <v>0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4.25" customHeight="1" x14ac:dyDescent="0.35">
      <c r="A155" s="1"/>
      <c r="B155" s="24">
        <v>154</v>
      </c>
      <c r="C155" s="1" t="s">
        <v>480</v>
      </c>
      <c r="D155" s="33" t="s">
        <v>512</v>
      </c>
      <c r="E155" s="1" t="s">
        <v>516</v>
      </c>
      <c r="F155" s="6">
        <f>+Salary!Q71</f>
        <v>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4.25" customHeight="1" x14ac:dyDescent="0.35">
      <c r="A156" s="1"/>
      <c r="B156" s="24">
        <v>155</v>
      </c>
      <c r="C156" s="33" t="s">
        <v>517</v>
      </c>
      <c r="D156" s="1" t="s">
        <v>512</v>
      </c>
      <c r="E156" s="117" t="s">
        <v>519</v>
      </c>
      <c r="F156" s="6">
        <f>+Salary!Q160</f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4.25" customHeight="1" x14ac:dyDescent="0.35">
      <c r="A157" s="1"/>
      <c r="B157" s="24">
        <v>156</v>
      </c>
      <c r="C157" s="1" t="s">
        <v>522</v>
      </c>
      <c r="D157" s="1" t="s">
        <v>512</v>
      </c>
      <c r="E157" s="46" t="s">
        <v>524</v>
      </c>
      <c r="F157" s="118">
        <f>+Salary!Q122</f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4.25" customHeight="1" x14ac:dyDescent="0.35">
      <c r="A158" s="1"/>
      <c r="B158" s="24">
        <v>157</v>
      </c>
      <c r="C158" s="1" t="s">
        <v>694</v>
      </c>
      <c r="D158" s="33" t="s">
        <v>512</v>
      </c>
      <c r="E158" s="1" t="s">
        <v>695</v>
      </c>
      <c r="F158" s="6">
        <f>+Salary!Q237</f>
        <v>0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4.25" customHeight="1" x14ac:dyDescent="0.35">
      <c r="A159" s="1"/>
      <c r="B159" s="24">
        <v>158</v>
      </c>
      <c r="C159" s="1" t="s">
        <v>700</v>
      </c>
      <c r="D159" s="33">
        <v>163047</v>
      </c>
      <c r="E159" s="46">
        <v>3201916082</v>
      </c>
      <c r="F159" s="6">
        <f>+Salary!Q202</f>
        <v>0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4.25" customHeight="1" x14ac:dyDescent="0.35">
      <c r="A160" s="1"/>
      <c r="B160" s="24">
        <v>159</v>
      </c>
      <c r="C160" s="1" t="s">
        <v>702</v>
      </c>
      <c r="D160" s="33">
        <v>163047</v>
      </c>
      <c r="E160" s="46">
        <v>3201468787</v>
      </c>
      <c r="F160" s="6">
        <f>+Salary!Q127</f>
        <v>0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4.25" customHeight="1" x14ac:dyDescent="0.35">
      <c r="A161" s="1"/>
      <c r="B161" s="24">
        <v>160</v>
      </c>
      <c r="C161" s="1" t="s">
        <v>707</v>
      </c>
      <c r="D161" s="33">
        <v>163047</v>
      </c>
      <c r="E161" s="46">
        <v>3202715602</v>
      </c>
      <c r="F161" s="6">
        <f>+Salary!Q166</f>
        <v>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4.25" customHeight="1" x14ac:dyDescent="0.35">
      <c r="A162" s="1"/>
      <c r="B162" s="24">
        <v>161</v>
      </c>
      <c r="C162" s="1" t="s">
        <v>539</v>
      </c>
      <c r="D162" s="33">
        <v>163047</v>
      </c>
      <c r="E162" s="46">
        <v>32045424040</v>
      </c>
      <c r="F162" s="6">
        <f>+Salary!Q165</f>
        <v>0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4.25" customHeight="1" x14ac:dyDescent="0.35">
      <c r="A163" s="1"/>
      <c r="B163" s="24">
        <v>162</v>
      </c>
      <c r="C163" s="1" t="s">
        <v>531</v>
      </c>
      <c r="D163" s="33">
        <v>163047</v>
      </c>
      <c r="E163" s="46">
        <v>3204006565</v>
      </c>
      <c r="F163" s="6">
        <f>+Salary!Q212</f>
        <v>0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4.25" customHeight="1" x14ac:dyDescent="0.35">
      <c r="A164" s="1"/>
      <c r="B164" s="24">
        <v>163</v>
      </c>
      <c r="C164" s="1" t="s">
        <v>535</v>
      </c>
      <c r="D164" s="33" t="s">
        <v>512</v>
      </c>
      <c r="E164" s="46" t="s">
        <v>537</v>
      </c>
      <c r="F164" s="6">
        <f>+Salary!Q95</f>
        <v>0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4.25" customHeight="1" x14ac:dyDescent="0.35">
      <c r="A165" s="1"/>
      <c r="B165" s="24">
        <v>164</v>
      </c>
      <c r="C165" s="1" t="s">
        <v>544</v>
      </c>
      <c r="D165" s="33">
        <v>163047</v>
      </c>
      <c r="E165" s="46">
        <v>3201479732</v>
      </c>
      <c r="F165" s="6">
        <f>+Salary!Q210</f>
        <v>0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4.25" customHeight="1" x14ac:dyDescent="0.35">
      <c r="A166" s="1"/>
      <c r="B166" s="24">
        <v>165</v>
      </c>
      <c r="C166" s="121" t="s">
        <v>432</v>
      </c>
      <c r="D166" s="33" t="s">
        <v>136</v>
      </c>
      <c r="E166" s="1" t="s">
        <v>547</v>
      </c>
      <c r="F166" s="6">
        <f>+Salary!Q63</f>
        <v>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4.25" customHeight="1" x14ac:dyDescent="0.35">
      <c r="A167" s="1"/>
      <c r="B167" s="24">
        <v>166</v>
      </c>
      <c r="C167" s="121" t="s">
        <v>728</v>
      </c>
      <c r="D167" s="125" t="s">
        <v>136</v>
      </c>
      <c r="E167" s="164" t="s">
        <v>551</v>
      </c>
      <c r="F167" s="6">
        <f>+Salary!Q64</f>
        <v>0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4.25" customHeight="1" x14ac:dyDescent="0.35">
      <c r="A168" s="1"/>
      <c r="B168" s="24">
        <v>167</v>
      </c>
      <c r="C168" s="121" t="s">
        <v>554</v>
      </c>
      <c r="D168" s="125" t="s">
        <v>136</v>
      </c>
      <c r="E168" s="164" t="s">
        <v>555</v>
      </c>
      <c r="F168" s="6">
        <f>+Salary!Q150</f>
        <v>0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4.25" customHeight="1" x14ac:dyDescent="0.35">
      <c r="A169" s="1"/>
      <c r="B169" s="24">
        <v>168</v>
      </c>
      <c r="C169" s="121" t="s">
        <v>558</v>
      </c>
      <c r="D169" s="33" t="s">
        <v>512</v>
      </c>
      <c r="E169" s="1" t="s">
        <v>560</v>
      </c>
      <c r="F169" s="6">
        <f>+Salary!Q26</f>
        <v>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4.25" customHeight="1" x14ac:dyDescent="0.35">
      <c r="A170" s="1"/>
      <c r="B170" s="24">
        <v>169</v>
      </c>
      <c r="C170" s="1" t="s">
        <v>741</v>
      </c>
      <c r="D170" s="164" t="s">
        <v>742</v>
      </c>
      <c r="E170" s="144" t="s">
        <v>743</v>
      </c>
      <c r="F170" s="6">
        <f>+Salary!Q186</f>
        <v>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4.25" customHeight="1" x14ac:dyDescent="0.35">
      <c r="A171" s="1"/>
      <c r="B171" s="24">
        <v>170</v>
      </c>
      <c r="C171" s="1" t="s">
        <v>562</v>
      </c>
      <c r="D171" s="1" t="s">
        <v>563</v>
      </c>
      <c r="E171" s="1" t="s">
        <v>564</v>
      </c>
      <c r="F171" s="6">
        <f>+Salary!Q88</f>
        <v>0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4.25" customHeight="1" x14ac:dyDescent="0.35">
      <c r="A172" s="1"/>
      <c r="B172" s="24">
        <v>171</v>
      </c>
      <c r="C172" s="1" t="s">
        <v>568</v>
      </c>
      <c r="D172" s="1" t="s">
        <v>563</v>
      </c>
      <c r="E172" s="33">
        <v>7247506809</v>
      </c>
      <c r="F172" s="6">
        <f>+Salary!Q111</f>
        <v>0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4.25" customHeight="1" x14ac:dyDescent="0.35">
      <c r="A173" s="1"/>
      <c r="B173" s="24">
        <v>172</v>
      </c>
      <c r="C173" s="1" t="s">
        <v>463</v>
      </c>
      <c r="D173" s="1" t="s">
        <v>563</v>
      </c>
      <c r="E173" s="33">
        <v>7247506975</v>
      </c>
      <c r="F173" s="6">
        <f>+Salary!Q68</f>
        <v>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4.25" customHeight="1" x14ac:dyDescent="0.35">
      <c r="A174" s="1"/>
      <c r="B174" s="24">
        <v>173</v>
      </c>
      <c r="C174" s="1" t="s">
        <v>569</v>
      </c>
      <c r="D174" s="1" t="s">
        <v>563</v>
      </c>
      <c r="E174" s="46">
        <v>7247507770</v>
      </c>
      <c r="F174" s="6">
        <f>+Salary!Q60</f>
        <v>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4.25" customHeight="1" x14ac:dyDescent="0.35">
      <c r="A175" s="1"/>
      <c r="B175" s="24">
        <v>174</v>
      </c>
      <c r="C175" s="209" t="s">
        <v>757</v>
      </c>
      <c r="D175" s="33" t="s">
        <v>563</v>
      </c>
      <c r="E175" s="1" t="s">
        <v>759</v>
      </c>
      <c r="F175" s="6">
        <f>+Salary!Q48</f>
        <v>0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4.25" customHeight="1" x14ac:dyDescent="0.35">
      <c r="A176" s="1"/>
      <c r="B176" s="24">
        <v>175</v>
      </c>
      <c r="C176" s="1" t="s">
        <v>269</v>
      </c>
      <c r="D176" s="33" t="s">
        <v>563</v>
      </c>
      <c r="E176" s="33" t="s">
        <v>575</v>
      </c>
      <c r="F176" s="6">
        <f>+Salary!Q37</f>
        <v>0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4.25" customHeight="1" x14ac:dyDescent="0.35">
      <c r="A177" s="1"/>
      <c r="B177" s="24">
        <v>176</v>
      </c>
      <c r="C177" s="1" t="s">
        <v>579</v>
      </c>
      <c r="D177" s="33">
        <v>290147</v>
      </c>
      <c r="E177" s="125" t="s">
        <v>580</v>
      </c>
      <c r="F177" s="6">
        <f>+Salary!Q69</f>
        <v>0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4.25" customHeight="1" x14ac:dyDescent="0.35">
      <c r="A178" s="1"/>
      <c r="B178" s="24">
        <v>177</v>
      </c>
      <c r="C178" s="1" t="s">
        <v>581</v>
      </c>
      <c r="D178" s="125" t="s">
        <v>563</v>
      </c>
      <c r="E178" s="33">
        <v>7270001623</v>
      </c>
      <c r="F178" s="6">
        <f>+Salary!Q36</f>
        <v>0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4.25" customHeight="1" x14ac:dyDescent="0.35">
      <c r="A179" s="1"/>
      <c r="B179" s="24">
        <v>178</v>
      </c>
      <c r="C179" s="1" t="s">
        <v>588</v>
      </c>
      <c r="D179" s="125" t="s">
        <v>563</v>
      </c>
      <c r="E179" s="125" t="s">
        <v>589</v>
      </c>
      <c r="F179" s="6">
        <f>+Salary!Q157</f>
        <v>0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4.25" customHeight="1" x14ac:dyDescent="0.35">
      <c r="A180" s="1"/>
      <c r="B180" s="24">
        <v>179</v>
      </c>
      <c r="C180" s="1" t="s">
        <v>773</v>
      </c>
      <c r="D180" s="125" t="s">
        <v>563</v>
      </c>
      <c r="E180" s="125" t="s">
        <v>774</v>
      </c>
      <c r="F180" s="6">
        <f>+Salary!Q175</f>
        <v>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4.25" customHeight="1" x14ac:dyDescent="0.35">
      <c r="A181" s="1"/>
      <c r="B181" s="24">
        <v>180</v>
      </c>
      <c r="C181" s="33" t="s">
        <v>550</v>
      </c>
      <c r="D181" s="33" t="s">
        <v>593</v>
      </c>
      <c r="E181" s="87" t="s">
        <v>594</v>
      </c>
      <c r="F181" s="6">
        <f>+Salary!Q83</f>
        <v>0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4.25" customHeight="1" x14ac:dyDescent="0.35">
      <c r="A182" s="1"/>
      <c r="B182" s="24">
        <v>181</v>
      </c>
      <c r="C182" s="1" t="s">
        <v>613</v>
      </c>
      <c r="D182" s="33">
        <v>560147</v>
      </c>
      <c r="E182" s="46">
        <v>1040047001875</v>
      </c>
      <c r="F182" s="6">
        <f>+Salary!Q12</f>
        <v>0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4.25" customHeight="1" x14ac:dyDescent="0.35">
      <c r="A183" s="1"/>
      <c r="B183" s="24">
        <v>182</v>
      </c>
      <c r="C183" s="1" t="s">
        <v>286</v>
      </c>
      <c r="D183" s="33" t="s">
        <v>596</v>
      </c>
      <c r="E183" s="1" t="s">
        <v>597</v>
      </c>
      <c r="F183" s="6">
        <f>+Salary!Q40</f>
        <v>0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4.25" customHeight="1" x14ac:dyDescent="0.35">
      <c r="A184" s="1"/>
      <c r="B184" s="24">
        <v>183</v>
      </c>
      <c r="C184" s="1" t="s">
        <v>601</v>
      </c>
      <c r="D184" s="33" t="s">
        <v>596</v>
      </c>
      <c r="E184" s="1" t="s">
        <v>603</v>
      </c>
      <c r="F184" s="6">
        <f>+Salary!Q163</f>
        <v>0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4.25" customHeight="1" x14ac:dyDescent="0.35">
      <c r="A185" s="1"/>
      <c r="B185" s="24">
        <v>184</v>
      </c>
      <c r="C185" s="177" t="s">
        <v>486</v>
      </c>
      <c r="D185" s="33" t="s">
        <v>596</v>
      </c>
      <c r="E185" s="1" t="s">
        <v>605</v>
      </c>
      <c r="F185" s="6">
        <f>+Salary!Q72</f>
        <v>0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4.25" customHeight="1" x14ac:dyDescent="0.35">
      <c r="A186" s="1"/>
      <c r="B186" s="24">
        <v>185</v>
      </c>
      <c r="C186" s="1" t="s">
        <v>791</v>
      </c>
      <c r="D186" s="33" t="s">
        <v>596</v>
      </c>
      <c r="E186" s="1" t="s">
        <v>792</v>
      </c>
      <c r="F186" s="6">
        <f>+Salary!Q224</f>
        <v>0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4.25" customHeight="1" x14ac:dyDescent="0.35">
      <c r="A187" s="1"/>
      <c r="B187" s="24">
        <v>186</v>
      </c>
      <c r="C187" s="1" t="s">
        <v>794</v>
      </c>
      <c r="D187" s="33" t="s">
        <v>596</v>
      </c>
      <c r="E187" s="1" t="s">
        <v>796</v>
      </c>
      <c r="F187" s="6">
        <f>+Salary!Q146</f>
        <v>0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4.25" customHeight="1" x14ac:dyDescent="0.35">
      <c r="A188" s="1"/>
      <c r="B188" s="24">
        <v>187</v>
      </c>
      <c r="C188" s="1" t="s">
        <v>607</v>
      </c>
      <c r="D188" s="33" t="s">
        <v>593</v>
      </c>
      <c r="E188" s="46" t="s">
        <v>608</v>
      </c>
      <c r="F188" s="6">
        <f>+Salary!Q159</f>
        <v>0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4.25" customHeight="1" x14ac:dyDescent="0.35">
      <c r="A189" s="1"/>
      <c r="B189" s="24">
        <v>188</v>
      </c>
      <c r="C189" s="1" t="s">
        <v>610</v>
      </c>
      <c r="D189" s="33">
        <v>230147</v>
      </c>
      <c r="E189" s="46" t="s">
        <v>611</v>
      </c>
      <c r="F189" s="6">
        <f>+Salary!Q96</f>
        <v>0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4.25" customHeight="1" x14ac:dyDescent="0.35">
      <c r="A190" s="1"/>
      <c r="B190" s="24">
        <v>189</v>
      </c>
      <c r="C190" s="1" t="s">
        <v>811</v>
      </c>
      <c r="D190" s="33" t="s">
        <v>10</v>
      </c>
      <c r="E190" s="46">
        <v>1063013398377</v>
      </c>
      <c r="F190" s="6">
        <f>+Salary!Q252</f>
        <v>0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4.25" customHeight="1" x14ac:dyDescent="0.35">
      <c r="A191" s="1"/>
      <c r="B191" s="24">
        <v>190</v>
      </c>
      <c r="C191" s="1" t="s">
        <v>816</v>
      </c>
      <c r="D191" s="107" t="s">
        <v>10</v>
      </c>
      <c r="E191" s="219" t="s">
        <v>818</v>
      </c>
      <c r="F191" s="6">
        <f>+Salary!Q261</f>
        <v>0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4.25" customHeight="1" x14ac:dyDescent="0.35">
      <c r="A192" s="1"/>
      <c r="B192" s="24">
        <v>191</v>
      </c>
      <c r="C192" s="1" t="s">
        <v>825</v>
      </c>
      <c r="D192" s="107" t="s">
        <v>10</v>
      </c>
      <c r="E192" s="1" t="s">
        <v>826</v>
      </c>
      <c r="F192" s="220">
        <f>+Salary!Q248</f>
        <v>0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4.25" customHeight="1" x14ac:dyDescent="0.35">
      <c r="A193" s="1"/>
      <c r="B193" s="24">
        <v>193</v>
      </c>
      <c r="C193" s="1" t="s">
        <v>829</v>
      </c>
      <c r="D193" s="33" t="s">
        <v>10</v>
      </c>
      <c r="E193" s="46" t="s">
        <v>830</v>
      </c>
      <c r="F193" s="6">
        <f>+Salary!Q254</f>
        <v>0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4.25" customHeight="1" x14ac:dyDescent="0.35">
      <c r="A194" s="1"/>
      <c r="B194" s="24">
        <v>194</v>
      </c>
      <c r="C194" s="1" t="s">
        <v>837</v>
      </c>
      <c r="D194" s="33" t="s">
        <v>378</v>
      </c>
      <c r="E194" s="46" t="s">
        <v>838</v>
      </c>
      <c r="F194" s="6">
        <f>+Salary!Q267</f>
        <v>0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4.25" customHeight="1" x14ac:dyDescent="0.35">
      <c r="A195" s="1"/>
      <c r="B195" s="24">
        <v>195</v>
      </c>
      <c r="C195" s="1" t="s">
        <v>841</v>
      </c>
      <c r="D195" s="33" t="s">
        <v>378</v>
      </c>
      <c r="E195" s="46" t="s">
        <v>843</v>
      </c>
      <c r="F195" s="6">
        <f>+Salary!Q266</f>
        <v>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4.25" customHeight="1" x14ac:dyDescent="0.35">
      <c r="A196" s="1"/>
      <c r="B196" s="24">
        <v>196</v>
      </c>
      <c r="C196" s="1" t="s">
        <v>847</v>
      </c>
      <c r="D196" s="33" t="s">
        <v>378</v>
      </c>
      <c r="E196" s="1" t="s">
        <v>848</v>
      </c>
      <c r="F196" s="6">
        <f>+Salary!Q260</f>
        <v>0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4.25" customHeight="1" x14ac:dyDescent="0.35">
      <c r="A197" s="1"/>
      <c r="B197" s="24">
        <v>197</v>
      </c>
      <c r="C197" s="1" t="s">
        <v>852</v>
      </c>
      <c r="D197" s="33" t="s">
        <v>378</v>
      </c>
      <c r="E197" s="1" t="s">
        <v>854</v>
      </c>
      <c r="F197" s="6">
        <f>+Salary!Q259</f>
        <v>0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4.25" customHeight="1" x14ac:dyDescent="0.35">
      <c r="A198" s="1"/>
      <c r="B198" s="24">
        <v>198</v>
      </c>
      <c r="C198" s="1" t="s">
        <v>859</v>
      </c>
      <c r="D198" s="33" t="s">
        <v>512</v>
      </c>
      <c r="E198" s="46" t="s">
        <v>860</v>
      </c>
      <c r="F198" s="6">
        <f>+Salary!Q257</f>
        <v>0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4.25" customHeight="1" x14ac:dyDescent="0.35">
      <c r="A199" s="1"/>
      <c r="B199" s="24">
        <v>199</v>
      </c>
      <c r="C199" s="1" t="s">
        <v>863</v>
      </c>
      <c r="D199" s="125" t="s">
        <v>512</v>
      </c>
      <c r="E199" s="164" t="s">
        <v>864</v>
      </c>
      <c r="F199" s="220">
        <f>+Salary!Q271</f>
        <v>0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4.25" customHeight="1" x14ac:dyDescent="0.35">
      <c r="A200" s="1"/>
      <c r="B200" s="24">
        <v>200</v>
      </c>
      <c r="C200" s="1" t="s">
        <v>865</v>
      </c>
      <c r="D200" s="125" t="s">
        <v>136</v>
      </c>
      <c r="E200" s="144" t="s">
        <v>866</v>
      </c>
      <c r="F200" s="6">
        <f>+Salary!Q274</f>
        <v>0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4.25" customHeight="1" x14ac:dyDescent="0.35">
      <c r="A201" s="1"/>
      <c r="B201" s="24">
        <v>201</v>
      </c>
      <c r="C201" s="1" t="s">
        <v>869</v>
      </c>
      <c r="D201" s="33" t="s">
        <v>454</v>
      </c>
      <c r="E201" s="46" t="s">
        <v>870</v>
      </c>
      <c r="F201" s="6">
        <f>+Salary!Q272</f>
        <v>0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4.25" customHeight="1" x14ac:dyDescent="0.35">
      <c r="A202" s="1"/>
      <c r="B202" s="24">
        <v>202</v>
      </c>
      <c r="C202" s="105" t="s">
        <v>874</v>
      </c>
      <c r="D202" s="1" t="s">
        <v>454</v>
      </c>
      <c r="E202" s="1" t="s">
        <v>875</v>
      </c>
      <c r="F202" s="6">
        <f>+Salary!Q250</f>
        <v>0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4.25" customHeight="1" x14ac:dyDescent="0.35">
      <c r="A203" s="1"/>
      <c r="B203" s="24">
        <v>203</v>
      </c>
      <c r="C203" s="1" t="s">
        <v>876</v>
      </c>
      <c r="D203" s="1" t="s">
        <v>454</v>
      </c>
      <c r="E203" s="1" t="s">
        <v>877</v>
      </c>
      <c r="F203" s="6">
        <f>+Salary!Q195</f>
        <v>0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4.25" customHeight="1" x14ac:dyDescent="0.35">
      <c r="A204" s="1"/>
      <c r="B204" s="24">
        <v>204</v>
      </c>
      <c r="C204" s="1" t="s">
        <v>880</v>
      </c>
      <c r="D204" s="33" t="s">
        <v>454</v>
      </c>
      <c r="E204" s="117" t="s">
        <v>881</v>
      </c>
      <c r="F204" s="6">
        <f>+Salary!Q269</f>
        <v>0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4.25" customHeight="1" x14ac:dyDescent="0.35">
      <c r="A205" s="1"/>
      <c r="B205" s="24">
        <v>205</v>
      </c>
      <c r="C205" s="1" t="s">
        <v>712</v>
      </c>
      <c r="D205" s="33" t="s">
        <v>454</v>
      </c>
      <c r="E205" s="117" t="s">
        <v>886</v>
      </c>
      <c r="F205" s="118">
        <f>+Salary!Q113</f>
        <v>0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4.25" customHeight="1" x14ac:dyDescent="0.35">
      <c r="A206" s="1"/>
      <c r="B206" s="24">
        <v>206</v>
      </c>
      <c r="C206" s="1" t="s">
        <v>887</v>
      </c>
      <c r="D206" s="33" t="s">
        <v>313</v>
      </c>
      <c r="E206" s="117" t="s">
        <v>890</v>
      </c>
      <c r="F206" s="118">
        <f>+Salary!Q249</f>
        <v>0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4.25" customHeight="1" x14ac:dyDescent="0.35">
      <c r="A207" s="1"/>
      <c r="B207" s="24">
        <v>207</v>
      </c>
      <c r="C207" s="33" t="s">
        <v>893</v>
      </c>
      <c r="D207" s="33" t="s">
        <v>313</v>
      </c>
      <c r="E207" s="117" t="s">
        <v>894</v>
      </c>
      <c r="F207" s="118">
        <f>+Salary!Q256</f>
        <v>0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4.25" customHeight="1" x14ac:dyDescent="0.35">
      <c r="A208" s="1"/>
      <c r="B208" s="24">
        <v>208</v>
      </c>
      <c r="C208" s="1" t="s">
        <v>897</v>
      </c>
      <c r="D208" s="33" t="s">
        <v>593</v>
      </c>
      <c r="E208" s="117" t="s">
        <v>898</v>
      </c>
      <c r="F208" s="118">
        <f>+Salary!Q253</f>
        <v>0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4.25" customHeight="1" x14ac:dyDescent="0.35">
      <c r="A209" s="1"/>
      <c r="B209" s="24">
        <v>209</v>
      </c>
      <c r="C209" s="1" t="s">
        <v>900</v>
      </c>
      <c r="D209" s="33" t="s">
        <v>901</v>
      </c>
      <c r="E209" s="46" t="s">
        <v>902</v>
      </c>
      <c r="F209" s="118">
        <f>+Salary!Q255</f>
        <v>0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4.25" customHeight="1" x14ac:dyDescent="0.35">
      <c r="A210" s="1"/>
      <c r="B210" s="24">
        <v>210</v>
      </c>
      <c r="C210" s="1" t="s">
        <v>906</v>
      </c>
      <c r="D210" s="1" t="s">
        <v>907</v>
      </c>
      <c r="E210" s="1" t="s">
        <v>908</v>
      </c>
      <c r="F210" s="6">
        <f>+Salary!Q258</f>
        <v>0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4.25" customHeight="1" x14ac:dyDescent="0.35">
      <c r="A211" s="1"/>
      <c r="B211" s="24">
        <v>211</v>
      </c>
      <c r="C211" s="1" t="s">
        <v>911</v>
      </c>
      <c r="D211" s="33">
        <v>230147</v>
      </c>
      <c r="E211" s="46" t="s">
        <v>913</v>
      </c>
      <c r="F211" s="6">
        <f>+Salary!Q273</f>
        <v>0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4.25" customHeight="1" x14ac:dyDescent="0.35">
      <c r="A212" s="1"/>
      <c r="B212" s="24">
        <v>212</v>
      </c>
      <c r="C212" s="167" t="s">
        <v>617</v>
      </c>
      <c r="D212" s="168" t="s">
        <v>136</v>
      </c>
      <c r="E212" s="169" t="s">
        <v>618</v>
      </c>
      <c r="F212" s="243">
        <f>+Salary!Q170</f>
        <v>0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4.25" customHeight="1" x14ac:dyDescent="0.35">
      <c r="A213" s="29"/>
      <c r="B213" s="244"/>
      <c r="C213" s="245" t="s">
        <v>620</v>
      </c>
      <c r="D213" s="245"/>
      <c r="E213" s="245"/>
      <c r="F213" s="246">
        <f>SUM(F3:F212)</f>
        <v>0</v>
      </c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47"/>
      <c r="S213" s="247"/>
      <c r="T213" s="247"/>
      <c r="U213" s="247"/>
      <c r="V213" s="247"/>
      <c r="W213" s="247"/>
      <c r="X213" s="247"/>
      <c r="Y213" s="247"/>
      <c r="Z213" s="247"/>
    </row>
    <row r="214" spans="1:26" ht="14.25" customHeight="1" x14ac:dyDescent="0.35">
      <c r="A214" s="10"/>
      <c r="B214" s="10"/>
      <c r="C214" s="248"/>
      <c r="D214" s="249"/>
      <c r="E214" s="248"/>
      <c r="F214" s="25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4.25" customHeight="1" x14ac:dyDescent="0.35">
      <c r="A215" s="1"/>
      <c r="B215" s="29" t="s">
        <v>667</v>
      </c>
      <c r="C215" s="1" t="s">
        <v>668</v>
      </c>
      <c r="D215" s="125" t="s">
        <v>927</v>
      </c>
      <c r="E215" s="46">
        <v>9030008988969</v>
      </c>
      <c r="F215" s="6">
        <f>+Salary!Q132</f>
        <v>0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4.25" customHeight="1" x14ac:dyDescent="0.35">
      <c r="A216" s="1"/>
      <c r="B216" s="24">
        <v>1</v>
      </c>
      <c r="C216" s="1" t="s">
        <v>256</v>
      </c>
      <c r="D216" s="33" t="s">
        <v>136</v>
      </c>
      <c r="E216" s="46" t="s">
        <v>674</v>
      </c>
      <c r="F216" s="6">
        <f>+Salary!Q35</f>
        <v>0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4.25" customHeight="1" x14ac:dyDescent="0.35">
      <c r="A217" s="1"/>
      <c r="B217" s="24">
        <v>2</v>
      </c>
      <c r="C217" s="1" t="s">
        <v>676</v>
      </c>
      <c r="D217" s="33" t="s">
        <v>563</v>
      </c>
      <c r="E217" s="46" t="s">
        <v>677</v>
      </c>
      <c r="F217" s="6">
        <f>+Salary!Q178</f>
        <v>0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4.25" customHeight="1" x14ac:dyDescent="0.35">
      <c r="A218" s="1"/>
      <c r="B218" s="24">
        <v>3</v>
      </c>
      <c r="C218" s="1" t="s">
        <v>680</v>
      </c>
      <c r="D218" s="33" t="s">
        <v>10</v>
      </c>
      <c r="E218" s="46" t="s">
        <v>938</v>
      </c>
      <c r="F218" s="6">
        <f>+Salary!Q41</f>
        <v>0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4.25" customHeight="1" x14ac:dyDescent="0.35">
      <c r="A219" s="1"/>
      <c r="B219" s="24">
        <v>4</v>
      </c>
      <c r="C219" s="1" t="s">
        <v>682</v>
      </c>
      <c r="D219" s="33" t="s">
        <v>10</v>
      </c>
      <c r="E219" s="46" t="s">
        <v>683</v>
      </c>
      <c r="F219" s="6">
        <f>+Salary!Q193</f>
        <v>0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4.25" customHeight="1" x14ac:dyDescent="0.35">
      <c r="A220" s="1"/>
      <c r="B220" s="24">
        <v>5</v>
      </c>
      <c r="C220" s="1" t="s">
        <v>684</v>
      </c>
      <c r="D220" s="33" t="s">
        <v>563</v>
      </c>
      <c r="E220" s="46" t="s">
        <v>686</v>
      </c>
      <c r="F220" s="6">
        <f>+Salary!Q104</f>
        <v>0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4.25" customHeight="1" x14ac:dyDescent="0.35">
      <c r="A221" s="1"/>
      <c r="B221" s="24">
        <v>6</v>
      </c>
      <c r="C221" s="1" t="s">
        <v>688</v>
      </c>
      <c r="D221" s="33" t="s">
        <v>563</v>
      </c>
      <c r="E221" s="46" t="s">
        <v>689</v>
      </c>
      <c r="F221" s="6">
        <f>+Salary!Q136</f>
        <v>0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4.25" customHeight="1" x14ac:dyDescent="0.35">
      <c r="A222" s="29"/>
      <c r="B222" s="244"/>
      <c r="C222" s="245" t="s">
        <v>620</v>
      </c>
      <c r="D222" s="245"/>
      <c r="E222" s="245"/>
      <c r="F222" s="246">
        <f>SUM(F215:F221)</f>
        <v>0</v>
      </c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47"/>
      <c r="S222" s="247"/>
      <c r="T222" s="247"/>
      <c r="U222" s="247"/>
      <c r="V222" s="247"/>
      <c r="W222" s="247"/>
      <c r="X222" s="247"/>
      <c r="Y222" s="247"/>
      <c r="Z222" s="247"/>
    </row>
    <row r="223" spans="1:26" ht="14.25" customHeight="1" x14ac:dyDescent="0.35">
      <c r="A223" s="1"/>
      <c r="B223" s="248"/>
      <c r="C223" s="10"/>
      <c r="D223" s="10"/>
      <c r="E223" s="10"/>
      <c r="F223" s="251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4.25" customHeight="1" x14ac:dyDescent="0.35">
      <c r="A224" s="10"/>
      <c r="B224" s="29" t="s">
        <v>622</v>
      </c>
      <c r="C224" s="1"/>
      <c r="D224" s="33"/>
      <c r="E224" s="1"/>
      <c r="F224" s="25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4.25" customHeight="1" x14ac:dyDescent="0.35">
      <c r="A225" s="1"/>
      <c r="B225" s="252">
        <v>1</v>
      </c>
      <c r="C225" s="1" t="s">
        <v>624</v>
      </c>
      <c r="D225" s="1" t="s">
        <v>136</v>
      </c>
      <c r="E225" s="46" t="s">
        <v>625</v>
      </c>
      <c r="F225" s="6">
        <f>+Salary!Q143</f>
        <v>0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4.25" customHeight="1" x14ac:dyDescent="0.35">
      <c r="A226" s="1"/>
      <c r="B226" s="252">
        <v>2</v>
      </c>
      <c r="C226" s="1" t="s">
        <v>630</v>
      </c>
      <c r="D226" s="1" t="s">
        <v>563</v>
      </c>
      <c r="E226" s="46" t="s">
        <v>631</v>
      </c>
      <c r="F226" s="6">
        <f>+Salary!Q158</f>
        <v>0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4.25" customHeight="1" x14ac:dyDescent="0.35">
      <c r="A227" s="1"/>
      <c r="B227" s="252">
        <v>3</v>
      </c>
      <c r="C227" s="1" t="s">
        <v>627</v>
      </c>
      <c r="D227" s="1" t="s">
        <v>313</v>
      </c>
      <c r="E227" s="46" t="s">
        <v>628</v>
      </c>
      <c r="F227" s="6">
        <f>+Salary!Q77</f>
        <v>0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4.25" customHeight="1" x14ac:dyDescent="0.35">
      <c r="A228" s="1"/>
      <c r="B228" s="252">
        <v>4</v>
      </c>
      <c r="C228" s="1" t="s">
        <v>636</v>
      </c>
      <c r="D228" s="1" t="s">
        <v>563</v>
      </c>
      <c r="E228" s="46" t="s">
        <v>637</v>
      </c>
      <c r="F228" s="6">
        <f>+Salary!Q101</f>
        <v>0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4.25" customHeight="1" x14ac:dyDescent="0.35">
      <c r="A229" s="1"/>
      <c r="B229" s="252">
        <v>5</v>
      </c>
      <c r="C229" s="1" t="s">
        <v>356</v>
      </c>
      <c r="D229" s="1" t="s">
        <v>563</v>
      </c>
      <c r="E229" s="46" t="s">
        <v>642</v>
      </c>
      <c r="F229" s="6">
        <f>+Salary!Q51</f>
        <v>0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4.25" customHeight="1" x14ac:dyDescent="0.35">
      <c r="A230" s="1"/>
      <c r="B230" s="252">
        <v>6</v>
      </c>
      <c r="C230" s="1" t="s">
        <v>643</v>
      </c>
      <c r="D230" s="1" t="s">
        <v>313</v>
      </c>
      <c r="E230" s="46" t="s">
        <v>645</v>
      </c>
      <c r="F230" s="6">
        <f>+Salary!Q215</f>
        <v>0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4.25" customHeight="1" x14ac:dyDescent="0.35">
      <c r="A231" s="1"/>
      <c r="B231" s="252">
        <v>7</v>
      </c>
      <c r="C231" s="1" t="s">
        <v>650</v>
      </c>
      <c r="D231" s="1" t="s">
        <v>454</v>
      </c>
      <c r="E231" s="46" t="s">
        <v>986</v>
      </c>
      <c r="F231" s="6">
        <f>+Salary!Q28</f>
        <v>0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4.25" customHeight="1" x14ac:dyDescent="0.35">
      <c r="A232" s="1"/>
      <c r="B232" s="252">
        <v>8</v>
      </c>
      <c r="C232" s="1" t="s">
        <v>238</v>
      </c>
      <c r="D232" s="1" t="s">
        <v>10</v>
      </c>
      <c r="E232" s="46" t="s">
        <v>655</v>
      </c>
      <c r="F232" s="6">
        <f>+Salary!Q32</f>
        <v>0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4.25" customHeight="1" x14ac:dyDescent="0.35">
      <c r="A233" s="1"/>
      <c r="B233" s="252">
        <v>9</v>
      </c>
      <c r="C233" s="1" t="s">
        <v>993</v>
      </c>
      <c r="D233" s="1" t="s">
        <v>563</v>
      </c>
      <c r="E233" s="46" t="s">
        <v>995</v>
      </c>
      <c r="F233" s="6">
        <f>+Salary!Q29</f>
        <v>0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4.25" customHeight="1" x14ac:dyDescent="0.35">
      <c r="A234" s="1"/>
      <c r="B234" s="252">
        <v>10</v>
      </c>
      <c r="C234" s="1" t="s">
        <v>657</v>
      </c>
      <c r="D234" s="1" t="s">
        <v>378</v>
      </c>
      <c r="E234" s="46" t="s">
        <v>658</v>
      </c>
      <c r="F234" s="6">
        <f>+Salary!Q25</f>
        <v>0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4.25" customHeight="1" x14ac:dyDescent="0.35">
      <c r="A235" s="1"/>
      <c r="B235" s="252">
        <v>11</v>
      </c>
      <c r="C235" s="1" t="s">
        <v>303</v>
      </c>
      <c r="D235" s="1" t="s">
        <v>596</v>
      </c>
      <c r="E235" s="46" t="s">
        <v>661</v>
      </c>
      <c r="F235" s="6">
        <f>+Salary!Q43</f>
        <v>0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4.25" customHeight="1" x14ac:dyDescent="0.35">
      <c r="A236" s="1"/>
      <c r="B236" s="252">
        <v>12</v>
      </c>
      <c r="C236" s="1" t="s">
        <v>1003</v>
      </c>
      <c r="D236" s="33" t="s">
        <v>10</v>
      </c>
      <c r="E236" s="253" t="s">
        <v>663</v>
      </c>
      <c r="F236" s="6">
        <f>+Salary!Q105</f>
        <v>0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4.25" customHeight="1" x14ac:dyDescent="0.35">
      <c r="A237" s="29"/>
      <c r="B237" s="245"/>
      <c r="C237" s="254" t="s">
        <v>620</v>
      </c>
      <c r="D237" s="254"/>
      <c r="E237" s="254"/>
      <c r="F237" s="246">
        <f>SUM(F225:F236)</f>
        <v>0</v>
      </c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47"/>
      <c r="S237" s="247"/>
      <c r="T237" s="247"/>
      <c r="U237" s="247"/>
      <c r="V237" s="247"/>
      <c r="W237" s="247"/>
      <c r="X237" s="247"/>
      <c r="Y237" s="247"/>
      <c r="Z237" s="247"/>
    </row>
    <row r="238" spans="1:26" ht="14.25" customHeight="1" x14ac:dyDescent="0.35">
      <c r="A238" s="10"/>
      <c r="B238" s="10"/>
      <c r="C238" s="248"/>
      <c r="D238" s="249"/>
      <c r="E238" s="248"/>
      <c r="F238" s="25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4.25" customHeight="1" x14ac:dyDescent="0.35">
      <c r="A239" s="1"/>
      <c r="B239" s="29" t="s">
        <v>696</v>
      </c>
      <c r="C239" s="33" t="s">
        <v>699</v>
      </c>
      <c r="D239" s="33" t="s">
        <v>10</v>
      </c>
      <c r="E239" s="46" t="s">
        <v>701</v>
      </c>
      <c r="F239" s="6">
        <f>+Salary!Q204</f>
        <v>0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4.25" customHeight="1" x14ac:dyDescent="0.35">
      <c r="A240" s="1"/>
      <c r="B240" s="24">
        <v>1</v>
      </c>
      <c r="C240" s="1" t="s">
        <v>703</v>
      </c>
      <c r="D240" s="1" t="s">
        <v>313</v>
      </c>
      <c r="E240" s="46" t="s">
        <v>706</v>
      </c>
      <c r="F240" s="6">
        <f>+Salary!Q177</f>
        <v>0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4.25" customHeight="1" x14ac:dyDescent="0.35">
      <c r="A241" s="1"/>
      <c r="B241" s="24">
        <v>2</v>
      </c>
      <c r="C241" s="1" t="s">
        <v>709</v>
      </c>
      <c r="D241" s="1" t="s">
        <v>454</v>
      </c>
      <c r="E241" s="46" t="s">
        <v>711</v>
      </c>
      <c r="F241" s="6">
        <f>+Salary!Q151</f>
        <v>0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4.25" customHeight="1" x14ac:dyDescent="0.35">
      <c r="A242" s="1"/>
      <c r="B242" s="24">
        <v>3</v>
      </c>
      <c r="C242" s="33" t="s">
        <v>723</v>
      </c>
      <c r="D242" s="1" t="s">
        <v>10</v>
      </c>
      <c r="E242" s="46" t="s">
        <v>724</v>
      </c>
      <c r="F242" s="6">
        <f>+Salary!Q78</f>
        <v>0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4.25" customHeight="1" x14ac:dyDescent="0.35">
      <c r="A243" s="1"/>
      <c r="B243" s="24">
        <v>4</v>
      </c>
      <c r="C243" s="33" t="s">
        <v>719</v>
      </c>
      <c r="D243" s="1" t="s">
        <v>136</v>
      </c>
      <c r="E243" s="1" t="s">
        <v>722</v>
      </c>
      <c r="F243" s="6">
        <f>+Salary!Q142</f>
        <v>0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4.25" customHeight="1" x14ac:dyDescent="0.35">
      <c r="A244" s="1"/>
      <c r="B244" s="24">
        <v>5</v>
      </c>
      <c r="C244" s="1" t="s">
        <v>715</v>
      </c>
      <c r="D244" s="33" t="s">
        <v>10</v>
      </c>
      <c r="E244" s="46" t="s">
        <v>718</v>
      </c>
      <c r="F244" s="6">
        <f>+Salary!Q206</f>
        <v>0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4.25" customHeight="1" x14ac:dyDescent="0.35">
      <c r="A245" s="1"/>
      <c r="B245" s="24">
        <v>6</v>
      </c>
      <c r="C245" s="1" t="s">
        <v>726</v>
      </c>
      <c r="D245" s="164" t="s">
        <v>10</v>
      </c>
      <c r="E245" s="144" t="s">
        <v>727</v>
      </c>
      <c r="F245" s="6">
        <f>+Salary!Q162</f>
        <v>0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4.25" customHeight="1" x14ac:dyDescent="0.35">
      <c r="A246" s="1"/>
      <c r="B246" s="24">
        <v>7</v>
      </c>
      <c r="C246" s="33" t="s">
        <v>351</v>
      </c>
      <c r="D246" s="33" t="s">
        <v>10</v>
      </c>
      <c r="E246" s="33" t="s">
        <v>731</v>
      </c>
      <c r="F246" s="6">
        <f>+Salary!Q50</f>
        <v>0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4.25" customHeight="1" x14ac:dyDescent="0.35">
      <c r="A247" s="1"/>
      <c r="B247" s="24">
        <v>8</v>
      </c>
      <c r="C247" s="1" t="s">
        <v>734</v>
      </c>
      <c r="D247" s="33" t="s">
        <v>512</v>
      </c>
      <c r="E247" s="33" t="s">
        <v>735</v>
      </c>
      <c r="F247" s="6">
        <f>+Salary!Q234</f>
        <v>0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4.25" customHeight="1" x14ac:dyDescent="0.35">
      <c r="A248" s="1"/>
      <c r="B248" s="24">
        <v>9</v>
      </c>
      <c r="C248" s="1" t="s">
        <v>737</v>
      </c>
      <c r="D248" s="33" t="s">
        <v>512</v>
      </c>
      <c r="E248" s="1" t="s">
        <v>738</v>
      </c>
      <c r="F248" s="6">
        <f>+Salary!Q174</f>
        <v>0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4.25" customHeight="1" x14ac:dyDescent="0.35">
      <c r="A249" s="1"/>
      <c r="B249" s="24">
        <v>10</v>
      </c>
      <c r="C249" s="1" t="s">
        <v>692</v>
      </c>
      <c r="D249" s="1" t="s">
        <v>378</v>
      </c>
      <c r="E249" s="144" t="s">
        <v>1065</v>
      </c>
      <c r="F249" s="6">
        <f>+Salary!Q109</f>
        <v>0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4.25" customHeight="1" x14ac:dyDescent="0.35">
      <c r="A250" s="1"/>
      <c r="B250" s="24">
        <v>11</v>
      </c>
      <c r="C250" s="1" t="s">
        <v>1069</v>
      </c>
      <c r="D250" s="1" t="s">
        <v>563</v>
      </c>
      <c r="E250" s="46" t="s">
        <v>573</v>
      </c>
      <c r="F250" s="6">
        <f>+Salary!Q129</f>
        <v>0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4.25" customHeight="1" x14ac:dyDescent="0.35">
      <c r="A251" s="1"/>
      <c r="B251" s="24">
        <v>12</v>
      </c>
      <c r="C251" s="1" t="s">
        <v>125</v>
      </c>
      <c r="D251" s="1" t="s">
        <v>10</v>
      </c>
      <c r="E251" s="46" t="s">
        <v>1070</v>
      </c>
      <c r="F251" s="6">
        <f>+Salary!Q200</f>
        <v>0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4.25" customHeight="1" x14ac:dyDescent="0.35">
      <c r="A252" s="1"/>
      <c r="B252" s="24">
        <v>13</v>
      </c>
      <c r="C252" s="1" t="s">
        <v>141</v>
      </c>
      <c r="D252" s="1" t="s">
        <v>10</v>
      </c>
      <c r="E252" s="46" t="s">
        <v>142</v>
      </c>
      <c r="F252" s="6">
        <f>+Salary!Q133</f>
        <v>0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4.25" customHeight="1" x14ac:dyDescent="0.35">
      <c r="A253" s="1"/>
      <c r="B253" s="24">
        <v>14</v>
      </c>
      <c r="C253" s="1" t="s">
        <v>451</v>
      </c>
      <c r="D253" s="1" t="s">
        <v>512</v>
      </c>
      <c r="E253" s="46" t="s">
        <v>527</v>
      </c>
      <c r="F253" s="6">
        <f>+Salary!Q66</f>
        <v>0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4.25" customHeight="1" x14ac:dyDescent="0.35">
      <c r="A254" s="1"/>
      <c r="B254" s="24">
        <v>15</v>
      </c>
      <c r="C254" s="1" t="s">
        <v>528</v>
      </c>
      <c r="D254" s="1" t="s">
        <v>512</v>
      </c>
      <c r="E254" s="46" t="s">
        <v>529</v>
      </c>
      <c r="F254" s="6">
        <f>+Salary!Q98</f>
        <v>0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4.25" customHeight="1" x14ac:dyDescent="0.35">
      <c r="A255" s="1"/>
      <c r="B255" s="24">
        <v>16</v>
      </c>
      <c r="C255" s="1" t="s">
        <v>1080</v>
      </c>
      <c r="D255" s="1" t="s">
        <v>313</v>
      </c>
      <c r="E255" s="46" t="s">
        <v>1081</v>
      </c>
      <c r="F255" s="6">
        <f>+Salary!Q251</f>
        <v>0</v>
      </c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4.25" customHeight="1" x14ac:dyDescent="0.35">
      <c r="A256" s="1"/>
      <c r="B256" s="24">
        <v>17</v>
      </c>
      <c r="C256" s="1" t="s">
        <v>224</v>
      </c>
      <c r="D256" s="1" t="s">
        <v>10</v>
      </c>
      <c r="E256" s="46" t="s">
        <v>226</v>
      </c>
      <c r="F256" s="6">
        <f>+Salary!Q79</f>
        <v>0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4.25" customHeight="1" x14ac:dyDescent="0.35">
      <c r="A257" s="1"/>
      <c r="B257" s="24">
        <v>18</v>
      </c>
      <c r="C257" s="1" t="s">
        <v>103</v>
      </c>
      <c r="D257" s="1" t="s">
        <v>136</v>
      </c>
      <c r="E257" s="46" t="s">
        <v>193</v>
      </c>
      <c r="F257" s="6">
        <f>+Salary!Q13</f>
        <v>0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4.25" customHeight="1" x14ac:dyDescent="0.35">
      <c r="A258" s="1"/>
      <c r="B258" s="24">
        <v>19</v>
      </c>
      <c r="C258" s="1" t="s">
        <v>367</v>
      </c>
      <c r="D258" s="1" t="s">
        <v>313</v>
      </c>
      <c r="E258" s="46">
        <v>6008741946</v>
      </c>
      <c r="F258" s="6">
        <f>+Salary!Q194</f>
        <v>0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4.25" customHeight="1" x14ac:dyDescent="0.35">
      <c r="A259" s="1"/>
      <c r="B259" s="24">
        <v>20</v>
      </c>
      <c r="C259" s="1" t="s">
        <v>318</v>
      </c>
      <c r="D259" s="1" t="s">
        <v>313</v>
      </c>
      <c r="E259" s="46" t="s">
        <v>319</v>
      </c>
      <c r="F259" s="6">
        <f>+Salary!Q242</f>
        <v>0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4.25" customHeight="1" x14ac:dyDescent="0.35">
      <c r="A260" s="1"/>
      <c r="B260" s="24">
        <v>21</v>
      </c>
      <c r="C260" s="1" t="s">
        <v>1094</v>
      </c>
      <c r="D260" s="1" t="s">
        <v>10</v>
      </c>
      <c r="E260" s="46" t="s">
        <v>1096</v>
      </c>
      <c r="F260" s="6">
        <f>+Salary!Q188</f>
        <v>0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4.25" customHeight="1" x14ac:dyDescent="0.35">
      <c r="A261" s="1"/>
      <c r="B261" s="24">
        <v>22</v>
      </c>
      <c r="C261" s="1" t="s">
        <v>67</v>
      </c>
      <c r="D261" s="1" t="s">
        <v>10</v>
      </c>
      <c r="E261" s="46" t="s">
        <v>68</v>
      </c>
      <c r="F261" s="6">
        <f>+Salary!Q208</f>
        <v>0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4.25" customHeight="1" x14ac:dyDescent="0.35">
      <c r="A262" s="1"/>
      <c r="B262" s="24">
        <v>23</v>
      </c>
      <c r="C262" s="1" t="s">
        <v>740</v>
      </c>
      <c r="D262" s="1" t="s">
        <v>10</v>
      </c>
      <c r="E262" s="46" t="s">
        <v>1106</v>
      </c>
      <c r="F262" s="6">
        <f>+Salary!Q120</f>
        <v>0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4.25" customHeight="1" x14ac:dyDescent="0.35">
      <c r="A263" s="1"/>
      <c r="B263" s="24">
        <v>24</v>
      </c>
      <c r="C263" s="1" t="s">
        <v>69</v>
      </c>
      <c r="D263" s="1" t="s">
        <v>10</v>
      </c>
      <c r="E263" s="46" t="s">
        <v>71</v>
      </c>
      <c r="F263" s="6">
        <f>+Salary!Q27</f>
        <v>0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4.25" customHeight="1" x14ac:dyDescent="0.35">
      <c r="A264" s="1"/>
      <c r="B264" s="24">
        <v>25</v>
      </c>
      <c r="C264" s="1" t="s">
        <v>322</v>
      </c>
      <c r="D264" s="1" t="s">
        <v>313</v>
      </c>
      <c r="E264" s="46" t="s">
        <v>323</v>
      </c>
      <c r="F264" s="6">
        <f>+Salary!Q168</f>
        <v>0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4.25" customHeight="1" x14ac:dyDescent="0.35">
      <c r="A265" s="1"/>
      <c r="B265" s="24">
        <v>26</v>
      </c>
      <c r="C265" s="1" t="s">
        <v>508</v>
      </c>
      <c r="D265" s="125" t="s">
        <v>378</v>
      </c>
      <c r="E265" s="144" t="s">
        <v>744</v>
      </c>
      <c r="F265" s="6">
        <f>+Salary!Q76</f>
        <v>0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4.25" customHeight="1" x14ac:dyDescent="0.35">
      <c r="A266" s="1"/>
      <c r="B266" s="24">
        <v>27</v>
      </c>
      <c r="C266" s="177" t="s">
        <v>748</v>
      </c>
      <c r="D266" s="33" t="s">
        <v>454</v>
      </c>
      <c r="E266" s="46" t="s">
        <v>749</v>
      </c>
      <c r="F266" s="6">
        <f>+Salary!Q218</f>
        <v>0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4.25" customHeight="1" x14ac:dyDescent="0.35">
      <c r="A267" s="29"/>
      <c r="B267" s="29"/>
      <c r="C267" s="29" t="s">
        <v>620</v>
      </c>
      <c r="D267" s="29"/>
      <c r="E267" s="29"/>
      <c r="F267" s="274">
        <f>SUM(F239:F266)</f>
        <v>0</v>
      </c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47"/>
      <c r="S267" s="247"/>
      <c r="T267" s="247"/>
      <c r="U267" s="247"/>
      <c r="V267" s="247"/>
      <c r="W267" s="247"/>
      <c r="X267" s="247"/>
      <c r="Y267" s="247"/>
      <c r="Z267" s="247"/>
    </row>
    <row r="268" spans="1:26" ht="14.25" customHeight="1" x14ac:dyDescent="0.35">
      <c r="A268" s="245"/>
      <c r="B268" s="275"/>
      <c r="C268" s="275" t="s">
        <v>752</v>
      </c>
      <c r="D268" s="275"/>
      <c r="E268" s="275"/>
      <c r="F268" s="276">
        <f>F267+F237+F222+F213</f>
        <v>0</v>
      </c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47"/>
      <c r="S268" s="247"/>
      <c r="T268" s="247"/>
      <c r="U268" s="247"/>
      <c r="V268" s="247"/>
      <c r="W268" s="247"/>
      <c r="X268" s="247"/>
      <c r="Y268" s="247"/>
      <c r="Z268" s="247"/>
    </row>
    <row r="269" spans="1:26" ht="14.25" customHeight="1" x14ac:dyDescent="0.35">
      <c r="A269" s="10"/>
      <c r="B269" s="10"/>
      <c r="C269" s="10"/>
      <c r="D269" s="10"/>
      <c r="E269" s="10"/>
      <c r="F269" s="25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4.25" customHeight="1" x14ac:dyDescent="0.35">
      <c r="A270" s="1"/>
      <c r="B270" s="3" t="s">
        <v>755</v>
      </c>
      <c r="C270" s="1"/>
      <c r="D270" s="1"/>
      <c r="E270" s="1"/>
      <c r="F270" s="6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4.25" customHeight="1" x14ac:dyDescent="0.35">
      <c r="A271" s="1"/>
      <c r="B271" s="15" t="s">
        <v>758</v>
      </c>
      <c r="C271" s="17" t="s">
        <v>3</v>
      </c>
      <c r="D271" s="15" t="s">
        <v>4</v>
      </c>
      <c r="E271" s="15" t="s">
        <v>762</v>
      </c>
      <c r="F271" s="281" t="s">
        <v>6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4.25" customHeight="1" x14ac:dyDescent="0.35">
      <c r="A272" s="1"/>
      <c r="B272" s="15" t="s">
        <v>667</v>
      </c>
      <c r="C272" s="177"/>
      <c r="D272" s="33"/>
      <c r="E272" s="219"/>
      <c r="F272" s="109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4.25" customHeight="1" x14ac:dyDescent="0.35">
      <c r="A273" s="1"/>
      <c r="B273" s="24">
        <v>1</v>
      </c>
      <c r="C273" s="177" t="s">
        <v>764</v>
      </c>
      <c r="D273" s="107" t="s">
        <v>10</v>
      </c>
      <c r="E273" s="219" t="s">
        <v>765</v>
      </c>
      <c r="F273" s="282">
        <f>+Salary!Q287</f>
        <v>0</v>
      </c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4.25" customHeight="1" x14ac:dyDescent="0.35">
      <c r="A274" s="1"/>
      <c r="B274" s="283"/>
      <c r="C274" s="283"/>
      <c r="D274" s="284"/>
      <c r="E274" s="284"/>
      <c r="F274" s="285">
        <f>+F273</f>
        <v>0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4.25" customHeight="1" x14ac:dyDescent="0.35">
      <c r="A275" s="1"/>
      <c r="B275" s="15" t="s">
        <v>1140</v>
      </c>
      <c r="C275" s="1"/>
      <c r="D275" s="33"/>
      <c r="E275" s="33"/>
      <c r="F275" s="286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4.25" customHeight="1" x14ac:dyDescent="0.35">
      <c r="A276" s="1"/>
      <c r="B276" s="24">
        <v>1</v>
      </c>
      <c r="C276" s="1" t="s">
        <v>1144</v>
      </c>
      <c r="D276" s="124" t="s">
        <v>136</v>
      </c>
      <c r="E276" s="114" t="s">
        <v>782</v>
      </c>
      <c r="F276" s="87">
        <f>+Salary!Q310</f>
        <v>0</v>
      </c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4.25" customHeight="1" x14ac:dyDescent="0.35">
      <c r="A277" s="1"/>
      <c r="B277" s="24">
        <v>2</v>
      </c>
      <c r="C277" s="1" t="s">
        <v>778</v>
      </c>
      <c r="D277" s="33">
        <v>290147</v>
      </c>
      <c r="E277" s="46">
        <v>7247507631</v>
      </c>
      <c r="F277" s="87">
        <f>+Salary!Q289</f>
        <v>0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4.25" customHeight="1" x14ac:dyDescent="0.35">
      <c r="A278" s="1"/>
      <c r="B278" s="24">
        <v>3</v>
      </c>
      <c r="C278" s="177" t="s">
        <v>783</v>
      </c>
      <c r="D278" s="33">
        <v>290147</v>
      </c>
      <c r="E278" s="46">
        <v>7247507632</v>
      </c>
      <c r="F278" s="109">
        <f>+Salary!Q307</f>
        <v>0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4.25" customHeight="1" x14ac:dyDescent="0.35">
      <c r="A279" s="1"/>
      <c r="B279" s="287"/>
      <c r="C279" s="283"/>
      <c r="D279" s="284"/>
      <c r="E279" s="283"/>
      <c r="F279" s="285">
        <f>SUM(F276:F278)</f>
        <v>0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4.25" customHeight="1" x14ac:dyDescent="0.35">
      <c r="A280" s="1"/>
      <c r="B280" s="15" t="s">
        <v>1160</v>
      </c>
      <c r="C280" s="1"/>
      <c r="D280" s="33"/>
      <c r="E280" s="1"/>
      <c r="F280" s="286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4.25" customHeight="1" x14ac:dyDescent="0.35">
      <c r="A281" s="1"/>
      <c r="B281" s="24">
        <v>1</v>
      </c>
      <c r="C281" s="1" t="s">
        <v>786</v>
      </c>
      <c r="D281" s="164" t="s">
        <v>10</v>
      </c>
      <c r="E281" s="144" t="s">
        <v>787</v>
      </c>
      <c r="F281" s="105">
        <f>+Salary!Q291</f>
        <v>0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4.25" customHeight="1" x14ac:dyDescent="0.35">
      <c r="A282" s="1"/>
      <c r="B282" s="24">
        <v>2</v>
      </c>
      <c r="C282" s="177" t="s">
        <v>793</v>
      </c>
      <c r="D282" s="293" t="s">
        <v>313</v>
      </c>
      <c r="E282" s="293" t="s">
        <v>1163</v>
      </c>
      <c r="F282" s="109">
        <f>+Salary!Q309</f>
        <v>0</v>
      </c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4.25" customHeight="1" x14ac:dyDescent="0.35">
      <c r="A283" s="1"/>
      <c r="B283" s="24">
        <v>3</v>
      </c>
      <c r="C283" s="1" t="s">
        <v>795</v>
      </c>
      <c r="D283" s="164" t="s">
        <v>563</v>
      </c>
      <c r="E283" s="144" t="s">
        <v>797</v>
      </c>
      <c r="F283" s="87">
        <f>+Salary!Q296</f>
        <v>0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4.25" customHeight="1" x14ac:dyDescent="0.35">
      <c r="A284" s="1"/>
      <c r="B284" s="24">
        <v>4</v>
      </c>
      <c r="C284" s="33" t="s">
        <v>800</v>
      </c>
      <c r="D284" s="164" t="s">
        <v>378</v>
      </c>
      <c r="E284" s="294" t="s">
        <v>801</v>
      </c>
      <c r="F284" s="87">
        <f>+Salary!Q279</f>
        <v>0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4.25" customHeight="1" x14ac:dyDescent="0.35">
      <c r="A285" s="1"/>
      <c r="B285" s="24">
        <v>5</v>
      </c>
      <c r="C285" s="33" t="s">
        <v>803</v>
      </c>
      <c r="D285" s="164" t="s">
        <v>454</v>
      </c>
      <c r="E285" s="294" t="s">
        <v>805</v>
      </c>
      <c r="F285" s="87">
        <f>+Salary!Q306</f>
        <v>0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4.25" customHeight="1" x14ac:dyDescent="0.35">
      <c r="A286" s="1"/>
      <c r="B286" s="24">
        <v>6</v>
      </c>
      <c r="C286" s="33" t="s">
        <v>806</v>
      </c>
      <c r="D286" s="164" t="s">
        <v>378</v>
      </c>
      <c r="E286" s="294" t="s">
        <v>808</v>
      </c>
      <c r="F286" s="87">
        <f>+Salary!Q311</f>
        <v>0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4.25" customHeight="1" x14ac:dyDescent="0.35">
      <c r="A287" s="1"/>
      <c r="B287" s="24">
        <v>7</v>
      </c>
      <c r="C287" s="33" t="s">
        <v>809</v>
      </c>
      <c r="D287" s="164" t="s">
        <v>512</v>
      </c>
      <c r="E287" s="294" t="s">
        <v>810</v>
      </c>
      <c r="F287" s="87">
        <f>+Salary!Q285</f>
        <v>0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4.25" customHeight="1" x14ac:dyDescent="0.35">
      <c r="A288" s="1"/>
      <c r="B288" s="24">
        <v>8</v>
      </c>
      <c r="C288" s="33" t="s">
        <v>814</v>
      </c>
      <c r="D288" s="164" t="s">
        <v>454</v>
      </c>
      <c r="E288" s="294" t="s">
        <v>815</v>
      </c>
      <c r="F288" s="87">
        <f>+Salary!Q303</f>
        <v>0</v>
      </c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4.25" customHeight="1" x14ac:dyDescent="0.35">
      <c r="A289" s="1"/>
      <c r="B289" s="24">
        <v>9</v>
      </c>
      <c r="C289" s="33" t="s">
        <v>820</v>
      </c>
      <c r="D289" s="164" t="s">
        <v>563</v>
      </c>
      <c r="E289" s="107">
        <v>7170009855</v>
      </c>
      <c r="F289" s="87">
        <f>+Salary!Q283</f>
        <v>0</v>
      </c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4.25" customHeight="1" x14ac:dyDescent="0.35">
      <c r="A290" s="1"/>
      <c r="B290" s="24">
        <v>10</v>
      </c>
      <c r="C290" s="33" t="s">
        <v>822</v>
      </c>
      <c r="D290" s="164" t="s">
        <v>512</v>
      </c>
      <c r="E290" s="294" t="s">
        <v>823</v>
      </c>
      <c r="F290" s="87">
        <f>+Salary!Q294</f>
        <v>0</v>
      </c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4.25" customHeight="1" x14ac:dyDescent="0.35">
      <c r="A291" s="1"/>
      <c r="B291" s="24">
        <v>11</v>
      </c>
      <c r="C291" s="33" t="s">
        <v>827</v>
      </c>
      <c r="D291" s="33">
        <v>163047</v>
      </c>
      <c r="E291" s="107">
        <v>32046533320</v>
      </c>
      <c r="F291" s="87">
        <f>+Salary!Q282</f>
        <v>0</v>
      </c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4.25" customHeight="1" x14ac:dyDescent="0.35">
      <c r="A292" s="1"/>
      <c r="B292" s="24">
        <v>12</v>
      </c>
      <c r="C292" s="33" t="s">
        <v>831</v>
      </c>
      <c r="D292" s="164" t="s">
        <v>313</v>
      </c>
      <c r="E292" s="294" t="s">
        <v>832</v>
      </c>
      <c r="F292" s="87">
        <f>+Salary!Q302</f>
        <v>0</v>
      </c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4.25" customHeight="1" x14ac:dyDescent="0.35">
      <c r="A293" s="1"/>
      <c r="B293" s="24">
        <v>13</v>
      </c>
      <c r="C293" s="33" t="s">
        <v>833</v>
      </c>
      <c r="D293" s="164" t="s">
        <v>454</v>
      </c>
      <c r="E293" s="294" t="s">
        <v>836</v>
      </c>
      <c r="F293" s="87">
        <f>+Salary!Q299</f>
        <v>0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4.25" customHeight="1" x14ac:dyDescent="0.35">
      <c r="A294" s="1"/>
      <c r="B294" s="24">
        <v>14</v>
      </c>
      <c r="C294" s="33" t="s">
        <v>839</v>
      </c>
      <c r="D294" s="164" t="s">
        <v>512</v>
      </c>
      <c r="E294" s="294" t="s">
        <v>840</v>
      </c>
      <c r="F294" s="87">
        <f>+Salary!Q308</f>
        <v>0</v>
      </c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4.25" customHeight="1" x14ac:dyDescent="0.35">
      <c r="A295" s="1"/>
      <c r="B295" s="24">
        <v>15</v>
      </c>
      <c r="C295" s="33" t="s">
        <v>842</v>
      </c>
      <c r="D295" s="164" t="s">
        <v>454</v>
      </c>
      <c r="E295" s="294" t="s">
        <v>844</v>
      </c>
      <c r="F295" s="87">
        <f>+Salary!Q298</f>
        <v>0</v>
      </c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4.25" customHeight="1" x14ac:dyDescent="0.35">
      <c r="A296" s="1"/>
      <c r="B296" s="24">
        <v>16</v>
      </c>
      <c r="C296" s="33" t="s">
        <v>1200</v>
      </c>
      <c r="D296" s="164" t="s">
        <v>378</v>
      </c>
      <c r="E296" s="294" t="s">
        <v>1201</v>
      </c>
      <c r="F296" s="87">
        <f>+Salary!Q317</f>
        <v>0</v>
      </c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4.25" customHeight="1" x14ac:dyDescent="0.35">
      <c r="A297" s="1"/>
      <c r="B297" s="24">
        <v>17</v>
      </c>
      <c r="C297" s="33" t="s">
        <v>846</v>
      </c>
      <c r="D297" s="33">
        <v>290147</v>
      </c>
      <c r="E297" s="107">
        <v>7247507583</v>
      </c>
      <c r="F297" s="87">
        <f>+Salary!Q295</f>
        <v>0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4.25" customHeight="1" x14ac:dyDescent="0.35">
      <c r="A298" s="1"/>
      <c r="B298" s="24">
        <v>18</v>
      </c>
      <c r="C298" s="33" t="s">
        <v>849</v>
      </c>
      <c r="D298" s="164" t="s">
        <v>512</v>
      </c>
      <c r="E298" s="294" t="s">
        <v>850</v>
      </c>
      <c r="F298" s="87">
        <f>+Salary!Q284</f>
        <v>0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4.25" customHeight="1" x14ac:dyDescent="0.35">
      <c r="A299" s="1"/>
      <c r="B299" s="24">
        <v>19</v>
      </c>
      <c r="C299" s="33" t="s">
        <v>853</v>
      </c>
      <c r="D299" s="164" t="s">
        <v>454</v>
      </c>
      <c r="E299" s="294" t="s">
        <v>856</v>
      </c>
      <c r="F299" s="87">
        <f>+Salary!Q301</f>
        <v>0</v>
      </c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4.25" customHeight="1" x14ac:dyDescent="0.35">
      <c r="A300" s="1"/>
      <c r="B300" s="24">
        <v>20</v>
      </c>
      <c r="C300" s="33" t="s">
        <v>857</v>
      </c>
      <c r="D300" s="164" t="s">
        <v>512</v>
      </c>
      <c r="E300" s="294" t="s">
        <v>858</v>
      </c>
      <c r="F300" s="87">
        <f>+Salary!Q297</f>
        <v>0</v>
      </c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4.25" customHeight="1" x14ac:dyDescent="0.35">
      <c r="A301" s="1"/>
      <c r="B301" s="24">
        <v>21</v>
      </c>
      <c r="C301" s="1" t="s">
        <v>1221</v>
      </c>
      <c r="D301" s="125" t="s">
        <v>512</v>
      </c>
      <c r="E301" s="125" t="s">
        <v>1222</v>
      </c>
      <c r="F301" s="297">
        <f>+Salary!Q304</f>
        <v>0</v>
      </c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4.25" customHeight="1" x14ac:dyDescent="0.35">
      <c r="A302" s="1"/>
      <c r="B302" s="24">
        <v>22</v>
      </c>
      <c r="C302" s="1" t="s">
        <v>1223</v>
      </c>
      <c r="D302" s="125" t="s">
        <v>512</v>
      </c>
      <c r="E302" s="33">
        <v>3204555067</v>
      </c>
      <c r="F302" s="297">
        <f>+Salary!Q280</f>
        <v>0</v>
      </c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4.25" customHeight="1" x14ac:dyDescent="0.35">
      <c r="A303" s="1"/>
      <c r="B303" s="24">
        <v>23</v>
      </c>
      <c r="C303" s="1" t="s">
        <v>1228</v>
      </c>
      <c r="D303" s="164" t="s">
        <v>10</v>
      </c>
      <c r="E303" s="164" t="s">
        <v>1229</v>
      </c>
      <c r="F303" s="298">
        <f>+Salary!Q300</f>
        <v>0</v>
      </c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4.25" customHeight="1" x14ac:dyDescent="0.35">
      <c r="A304" s="1"/>
      <c r="B304" s="24">
        <v>24</v>
      </c>
      <c r="C304" s="299" t="s">
        <v>1232</v>
      </c>
      <c r="D304" s="164" t="s">
        <v>10</v>
      </c>
      <c r="E304" s="300" t="s">
        <v>1234</v>
      </c>
      <c r="F304" s="301">
        <f>+Salary!Q293</f>
        <v>0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4.25" customHeight="1" x14ac:dyDescent="0.35">
      <c r="A305" s="1"/>
      <c r="B305" s="24">
        <v>25</v>
      </c>
      <c r="C305" s="1" t="s">
        <v>1237</v>
      </c>
      <c r="D305" s="125" t="s">
        <v>454</v>
      </c>
      <c r="E305" s="164" t="s">
        <v>1238</v>
      </c>
      <c r="F305" s="302">
        <f>+Salary!Q316</f>
        <v>0</v>
      </c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4.25" customHeight="1" x14ac:dyDescent="0.35">
      <c r="A306" s="1"/>
      <c r="B306" s="24">
        <v>26</v>
      </c>
      <c r="C306" s="303" t="s">
        <v>1243</v>
      </c>
      <c r="D306" s="304" t="s">
        <v>454</v>
      </c>
      <c r="E306" s="125" t="s">
        <v>1245</v>
      </c>
      <c r="F306" s="305">
        <f>+Salary!Q323</f>
        <v>0</v>
      </c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4.25" customHeight="1" x14ac:dyDescent="0.35">
      <c r="A307" s="1"/>
      <c r="B307" s="24">
        <v>27</v>
      </c>
      <c r="C307" s="303" t="s">
        <v>1248</v>
      </c>
      <c r="D307" s="304" t="s">
        <v>454</v>
      </c>
      <c r="E307" s="125" t="s">
        <v>1249</v>
      </c>
      <c r="F307" s="305">
        <f>+Salary!Q319</f>
        <v>0</v>
      </c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4.25" customHeight="1" x14ac:dyDescent="0.35">
      <c r="A308" s="1"/>
      <c r="B308" s="24">
        <v>28</v>
      </c>
      <c r="C308" s="1" t="s">
        <v>1257</v>
      </c>
      <c r="D308" s="33">
        <v>290147</v>
      </c>
      <c r="E308" s="33">
        <v>7225007296</v>
      </c>
      <c r="F308" s="302">
        <f>+Salary!Q292</f>
        <v>0</v>
      </c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4.25" customHeight="1" x14ac:dyDescent="0.35">
      <c r="A309" s="1"/>
      <c r="B309" s="24">
        <v>29</v>
      </c>
      <c r="C309" s="1" t="s">
        <v>1258</v>
      </c>
      <c r="D309" s="33">
        <v>290147</v>
      </c>
      <c r="E309" s="33">
        <v>7170009823</v>
      </c>
      <c r="F309" s="298">
        <f>+Salary!Q281</f>
        <v>0</v>
      </c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4.25" customHeight="1" x14ac:dyDescent="0.35">
      <c r="A310" s="1"/>
      <c r="B310" s="24">
        <v>30</v>
      </c>
      <c r="C310" s="1" t="s">
        <v>1263</v>
      </c>
      <c r="D310" s="164" t="s">
        <v>563</v>
      </c>
      <c r="E310" s="164" t="s">
        <v>1264</v>
      </c>
      <c r="F310" s="302">
        <f>+Salary!Q286</f>
        <v>0</v>
      </c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4.25" customHeight="1" x14ac:dyDescent="0.35">
      <c r="A311" s="1"/>
      <c r="B311" s="24">
        <v>31</v>
      </c>
      <c r="C311" s="1" t="s">
        <v>1267</v>
      </c>
      <c r="D311" s="164" t="s">
        <v>10</v>
      </c>
      <c r="E311" s="294" t="s">
        <v>1268</v>
      </c>
      <c r="F311" s="87">
        <f>+Salary!Q305</f>
        <v>0</v>
      </c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4.25" customHeight="1" x14ac:dyDescent="0.35">
      <c r="A312" s="1"/>
      <c r="B312" s="24">
        <v>32</v>
      </c>
      <c r="C312" s="50" t="s">
        <v>1270</v>
      </c>
      <c r="D312" s="164" t="s">
        <v>1271</v>
      </c>
      <c r="E312" s="294" t="s">
        <v>1272</v>
      </c>
      <c r="F312" s="87">
        <f>+Salary!Q288</f>
        <v>0</v>
      </c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4.25" customHeight="1" x14ac:dyDescent="0.35">
      <c r="A313" s="1"/>
      <c r="B313" s="24">
        <v>33</v>
      </c>
      <c r="C313" s="50" t="s">
        <v>1274</v>
      </c>
      <c r="D313" s="164" t="s">
        <v>512</v>
      </c>
      <c r="E313" s="294" t="s">
        <v>1276</v>
      </c>
      <c r="F313" s="87">
        <f>+Salary!Q318</f>
        <v>0</v>
      </c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4.25" customHeight="1" x14ac:dyDescent="0.35">
      <c r="A314" s="1"/>
      <c r="B314" s="287"/>
      <c r="C314" s="284"/>
      <c r="D314" s="283"/>
      <c r="E314" s="284"/>
      <c r="F314" s="315">
        <f>SUM(F281:F313)</f>
        <v>0</v>
      </c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4.25" customHeight="1" x14ac:dyDescent="0.35">
      <c r="A315" s="1"/>
      <c r="B315" s="15" t="s">
        <v>768</v>
      </c>
      <c r="C315" s="177"/>
      <c r="D315" s="319"/>
      <c r="E315" s="219"/>
      <c r="F315" s="282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4.25" customHeight="1" x14ac:dyDescent="0.35">
      <c r="A316" s="1"/>
      <c r="B316" s="24">
        <v>1</v>
      </c>
      <c r="C316" s="177" t="s">
        <v>769</v>
      </c>
      <c r="D316" s="125" t="s">
        <v>563</v>
      </c>
      <c r="E316" s="46">
        <v>7170009822</v>
      </c>
      <c r="F316" s="282">
        <f>+Salary!Q290</f>
        <v>0</v>
      </c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4.25" customHeight="1" x14ac:dyDescent="0.35">
      <c r="A317" s="1"/>
      <c r="B317" s="24">
        <v>2</v>
      </c>
      <c r="C317" s="177" t="s">
        <v>771</v>
      </c>
      <c r="D317" s="125" t="s">
        <v>512</v>
      </c>
      <c r="E317" s="144" t="s">
        <v>772</v>
      </c>
      <c r="F317" s="282">
        <f>+Salary!Q312</f>
        <v>0</v>
      </c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4.25" customHeight="1" x14ac:dyDescent="0.35">
      <c r="A318" s="29"/>
      <c r="B318" s="321"/>
      <c r="C318" s="321"/>
      <c r="D318" s="321"/>
      <c r="E318" s="321"/>
      <c r="F318" s="322">
        <f>SUM(F316:F317)</f>
        <v>0</v>
      </c>
      <c r="G318" s="247"/>
      <c r="H318" s="247"/>
      <c r="I318" s="247"/>
      <c r="J318" s="247"/>
      <c r="K318" s="247"/>
      <c r="L318" s="247"/>
      <c r="M318" s="247"/>
      <c r="N318" s="247"/>
      <c r="O318" s="247"/>
      <c r="P318" s="247"/>
      <c r="Q318" s="247"/>
      <c r="R318" s="247"/>
      <c r="S318" s="247"/>
      <c r="T318" s="247"/>
      <c r="U318" s="247"/>
      <c r="V318" s="247"/>
      <c r="W318" s="247"/>
      <c r="X318" s="247"/>
      <c r="Y318" s="247"/>
      <c r="Z318" s="247"/>
    </row>
    <row r="319" spans="1:26" ht="14.25" customHeight="1" x14ac:dyDescent="0.35">
      <c r="A319" s="29"/>
      <c r="B319" s="275"/>
      <c r="C319" s="275" t="s">
        <v>752</v>
      </c>
      <c r="D319" s="275"/>
      <c r="E319" s="275"/>
      <c r="F319" s="276">
        <f>F318+F314+F279+F274</f>
        <v>0</v>
      </c>
      <c r="G319" s="247"/>
      <c r="H319" s="247"/>
      <c r="I319" s="247"/>
      <c r="J319" s="247"/>
      <c r="K319" s="247"/>
      <c r="L319" s="247"/>
      <c r="M319" s="247"/>
      <c r="N319" s="247"/>
      <c r="O319" s="247"/>
      <c r="P319" s="247"/>
      <c r="Q319" s="247"/>
      <c r="R319" s="247"/>
      <c r="S319" s="247"/>
      <c r="T319" s="247"/>
      <c r="U319" s="247"/>
      <c r="V319" s="247"/>
      <c r="W319" s="247"/>
      <c r="X319" s="247"/>
      <c r="Y319" s="247"/>
      <c r="Z319" s="247"/>
    </row>
    <row r="320" spans="1:26" ht="14.25" customHeight="1" x14ac:dyDescent="0.35">
      <c r="A320" s="10"/>
      <c r="B320" s="10"/>
      <c r="C320" s="10"/>
      <c r="D320" s="10"/>
      <c r="E320" s="10"/>
      <c r="F320" s="25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4.25" customHeight="1" x14ac:dyDescent="0.35">
      <c r="A321" s="1"/>
      <c r="B321" s="3" t="s">
        <v>1279</v>
      </c>
      <c r="C321" s="1"/>
      <c r="D321" s="1"/>
      <c r="E321" s="1"/>
      <c r="F321" s="6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4.25" customHeight="1" x14ac:dyDescent="0.35">
      <c r="A322" s="1"/>
      <c r="B322" s="15" t="s">
        <v>758</v>
      </c>
      <c r="C322" s="17" t="s">
        <v>3</v>
      </c>
      <c r="D322" s="15" t="s">
        <v>4</v>
      </c>
      <c r="E322" s="15" t="s">
        <v>762</v>
      </c>
      <c r="F322" s="281" t="s">
        <v>6</v>
      </c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4.25" customHeight="1" x14ac:dyDescent="0.35">
      <c r="A323" s="1"/>
      <c r="B323" s="15" t="s">
        <v>768</v>
      </c>
      <c r="C323" s="31"/>
      <c r="D323" s="323"/>
      <c r="E323" s="323"/>
      <c r="F323" s="323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4.25" customHeight="1" x14ac:dyDescent="0.35">
      <c r="A324" s="1"/>
      <c r="B324" s="24"/>
      <c r="C324" s="1"/>
      <c r="D324" s="1"/>
      <c r="E324" s="46"/>
      <c r="F324" s="87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4.25" customHeight="1" x14ac:dyDescent="0.35">
      <c r="A325" s="1"/>
      <c r="B325" s="324"/>
      <c r="C325" s="325"/>
      <c r="D325" s="325"/>
      <c r="E325" s="326"/>
      <c r="F325" s="327">
        <v>0</v>
      </c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4.25" customHeight="1" x14ac:dyDescent="0.35">
      <c r="A326" s="1"/>
      <c r="B326" s="15" t="s">
        <v>1283</v>
      </c>
      <c r="C326" s="1"/>
      <c r="D326" s="1"/>
      <c r="E326" s="1"/>
      <c r="F326" s="105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4.25" customHeight="1" x14ac:dyDescent="0.35">
      <c r="A327" s="1"/>
      <c r="B327" s="24">
        <v>1</v>
      </c>
      <c r="C327" s="177" t="s">
        <v>972</v>
      </c>
      <c r="D327" s="33" t="s">
        <v>378</v>
      </c>
      <c r="E327" s="46" t="s">
        <v>973</v>
      </c>
      <c r="F327" s="282">
        <f>+Salary!Q330</f>
        <v>0</v>
      </c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4.25" customHeight="1" x14ac:dyDescent="0.35">
      <c r="A328" s="1"/>
      <c r="B328" s="24">
        <v>2</v>
      </c>
      <c r="C328" s="107" t="s">
        <v>909</v>
      </c>
      <c r="D328" s="294" t="s">
        <v>378</v>
      </c>
      <c r="E328" s="294" t="s">
        <v>910</v>
      </c>
      <c r="F328" s="330">
        <f>+Salary!Q365</f>
        <v>0</v>
      </c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4.25" customHeight="1" x14ac:dyDescent="0.35">
      <c r="A329" s="1"/>
      <c r="B329" s="24"/>
      <c r="C329" s="107"/>
      <c r="D329" s="107"/>
      <c r="E329" s="107"/>
      <c r="F329" s="33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4.25" customHeight="1" x14ac:dyDescent="0.35">
      <c r="A330" s="1"/>
      <c r="B330" s="324"/>
      <c r="C330" s="324"/>
      <c r="D330" s="324"/>
      <c r="E330" s="324"/>
      <c r="F330" s="332">
        <f>SUM(F327:F329)</f>
        <v>0</v>
      </c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4.25" customHeight="1" x14ac:dyDescent="0.35">
      <c r="A331" s="1"/>
      <c r="B331" s="24">
        <v>1</v>
      </c>
      <c r="C331" s="177" t="s">
        <v>937</v>
      </c>
      <c r="D331" s="33" t="s">
        <v>596</v>
      </c>
      <c r="E331" s="46" t="s">
        <v>939</v>
      </c>
      <c r="F331" s="282">
        <f>+Salary!Q352</f>
        <v>0</v>
      </c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4.25" customHeight="1" x14ac:dyDescent="0.35">
      <c r="A332" s="1"/>
      <c r="B332" s="24">
        <v>2</v>
      </c>
      <c r="C332" s="1" t="s">
        <v>949</v>
      </c>
      <c r="D332" s="33" t="s">
        <v>313</v>
      </c>
      <c r="E332" s="46" t="s">
        <v>950</v>
      </c>
      <c r="F332" s="87">
        <f>+Salary!Q350</f>
        <v>0</v>
      </c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4.25" customHeight="1" x14ac:dyDescent="0.35">
      <c r="A333" s="1"/>
      <c r="B333" s="24">
        <v>3</v>
      </c>
      <c r="C333" s="177" t="s">
        <v>929</v>
      </c>
      <c r="D333" s="33" t="s">
        <v>563</v>
      </c>
      <c r="E333" s="46" t="s">
        <v>930</v>
      </c>
      <c r="F333" s="282">
        <f>+Salary!Q332</f>
        <v>0</v>
      </c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4.25" customHeight="1" x14ac:dyDescent="0.35">
      <c r="A334" s="1"/>
      <c r="B334" s="24">
        <v>4</v>
      </c>
      <c r="C334" s="177" t="s">
        <v>954</v>
      </c>
      <c r="D334" s="33" t="s">
        <v>454</v>
      </c>
      <c r="E334" s="46" t="s">
        <v>955</v>
      </c>
      <c r="F334" s="282">
        <f>+Salary!Q346</f>
        <v>0</v>
      </c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4.25" customHeight="1" x14ac:dyDescent="0.35">
      <c r="A335" s="1"/>
      <c r="B335" s="24">
        <v>5</v>
      </c>
      <c r="C335" s="177" t="s">
        <v>959</v>
      </c>
      <c r="D335" s="33" t="s">
        <v>454</v>
      </c>
      <c r="E335" s="46" t="s">
        <v>960</v>
      </c>
      <c r="F335" s="282">
        <f>+Salary!Q358</f>
        <v>0</v>
      </c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4.25" customHeight="1" x14ac:dyDescent="0.35">
      <c r="A336" s="1"/>
      <c r="B336" s="24">
        <v>6</v>
      </c>
      <c r="C336" s="1" t="s">
        <v>976</v>
      </c>
      <c r="D336" s="1" t="s">
        <v>378</v>
      </c>
      <c r="E336" s="46" t="s">
        <v>977</v>
      </c>
      <c r="F336" s="87">
        <f>+Salary!Q364</f>
        <v>0</v>
      </c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4.25" customHeight="1" x14ac:dyDescent="0.35">
      <c r="A337" s="1"/>
      <c r="B337" s="24">
        <v>7</v>
      </c>
      <c r="C337" s="1" t="s">
        <v>979</v>
      </c>
      <c r="D337" s="1" t="s">
        <v>378</v>
      </c>
      <c r="E337" s="46" t="s">
        <v>980</v>
      </c>
      <c r="F337" s="87">
        <f>+Salary!Q349</f>
        <v>0</v>
      </c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4.25" customHeight="1" x14ac:dyDescent="0.35">
      <c r="A338" s="1"/>
      <c r="B338" s="24">
        <v>8</v>
      </c>
      <c r="C338" s="1" t="s">
        <v>982</v>
      </c>
      <c r="D338" s="33" t="s">
        <v>378</v>
      </c>
      <c r="E338" s="1" t="s">
        <v>985</v>
      </c>
      <c r="F338" s="105">
        <f>+Salary!Q363</f>
        <v>0</v>
      </c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4.25" customHeight="1" x14ac:dyDescent="0.35">
      <c r="A339" s="1"/>
      <c r="B339" s="24">
        <v>9</v>
      </c>
      <c r="C339" s="177" t="s">
        <v>925</v>
      </c>
      <c r="D339" s="1" t="s">
        <v>563</v>
      </c>
      <c r="E339" s="46" t="s">
        <v>928</v>
      </c>
      <c r="F339" s="282">
        <f>+Salary!Q338</f>
        <v>0</v>
      </c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4.25" customHeight="1" x14ac:dyDescent="0.35">
      <c r="A340" s="1"/>
      <c r="B340" s="24">
        <v>10</v>
      </c>
      <c r="C340" s="1" t="s">
        <v>931</v>
      </c>
      <c r="D340" s="164" t="s">
        <v>563</v>
      </c>
      <c r="E340" s="144" t="s">
        <v>932</v>
      </c>
      <c r="F340" s="282">
        <f>+Salary!Q360</f>
        <v>0</v>
      </c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4.25" customHeight="1" x14ac:dyDescent="0.35">
      <c r="A341" s="1"/>
      <c r="B341" s="24">
        <v>11</v>
      </c>
      <c r="C341" s="1" t="s">
        <v>956</v>
      </c>
      <c r="D341" s="33">
        <v>300147</v>
      </c>
      <c r="E341" s="46">
        <v>1039102741971</v>
      </c>
      <c r="F341" s="282">
        <f>+Salary!Q331</f>
        <v>0</v>
      </c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4.25" customHeight="1" x14ac:dyDescent="0.35">
      <c r="A342" s="1"/>
      <c r="B342" s="24">
        <v>12</v>
      </c>
      <c r="C342" s="1" t="s">
        <v>951</v>
      </c>
      <c r="D342" s="33" t="s">
        <v>313</v>
      </c>
      <c r="E342" s="33">
        <v>6008582384</v>
      </c>
      <c r="F342" s="87">
        <f>+Salary!Q371</f>
        <v>0</v>
      </c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4.25" customHeight="1" x14ac:dyDescent="0.35">
      <c r="A343" s="1"/>
      <c r="B343" s="24">
        <v>13</v>
      </c>
      <c r="C343" s="1" t="s">
        <v>961</v>
      </c>
      <c r="D343" s="33" t="s">
        <v>454</v>
      </c>
      <c r="E343" s="1" t="s">
        <v>964</v>
      </c>
      <c r="F343" s="87">
        <f>+Salary!Q343</f>
        <v>0</v>
      </c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4.25" customHeight="1" x14ac:dyDescent="0.35">
      <c r="A344" s="1"/>
      <c r="B344" s="24">
        <v>14</v>
      </c>
      <c r="C344" s="1" t="s">
        <v>941</v>
      </c>
      <c r="D344" s="33" t="s">
        <v>596</v>
      </c>
      <c r="E344" s="1" t="s">
        <v>942</v>
      </c>
      <c r="F344" s="87">
        <f>+Salary!Q353</f>
        <v>0</v>
      </c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4.25" customHeight="1" x14ac:dyDescent="0.35">
      <c r="A345" s="1"/>
      <c r="B345" s="24">
        <v>15</v>
      </c>
      <c r="C345" s="1" t="s">
        <v>999</v>
      </c>
      <c r="D345" s="33" t="s">
        <v>10</v>
      </c>
      <c r="E345" s="1" t="s">
        <v>1000</v>
      </c>
      <c r="F345" s="87">
        <f>+Salary!Q340</f>
        <v>0</v>
      </c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4.25" customHeight="1" x14ac:dyDescent="0.35">
      <c r="A346" s="1"/>
      <c r="B346" s="24">
        <v>16</v>
      </c>
      <c r="C346" s="1" t="s">
        <v>924</v>
      </c>
      <c r="D346" s="33" t="s">
        <v>563</v>
      </c>
      <c r="E346" s="121">
        <v>7170010159</v>
      </c>
      <c r="F346" s="87">
        <f>+Salary!Q347</f>
        <v>0</v>
      </c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4.25" customHeight="1" x14ac:dyDescent="0.35">
      <c r="A347" s="1"/>
      <c r="B347" s="24">
        <v>17</v>
      </c>
      <c r="C347" s="1" t="s">
        <v>989</v>
      </c>
      <c r="D347" s="33" t="s">
        <v>378</v>
      </c>
      <c r="E347" s="46" t="s">
        <v>990</v>
      </c>
      <c r="F347" s="87">
        <f>+Salary!Q373</f>
        <v>0</v>
      </c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4.25" customHeight="1" x14ac:dyDescent="0.35">
      <c r="A348" s="1"/>
      <c r="B348" s="24">
        <v>18</v>
      </c>
      <c r="C348" s="1" t="s">
        <v>965</v>
      </c>
      <c r="D348" s="33" t="s">
        <v>454</v>
      </c>
      <c r="E348" s="1" t="s">
        <v>966</v>
      </c>
      <c r="F348" s="105">
        <f>+Salary!Q334</f>
        <v>0</v>
      </c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4.25" customHeight="1" x14ac:dyDescent="0.35">
      <c r="A349" s="1"/>
      <c r="B349" s="24">
        <v>19</v>
      </c>
      <c r="C349" s="1" t="s">
        <v>943</v>
      </c>
      <c r="D349" s="33" t="s">
        <v>563</v>
      </c>
      <c r="E349" s="125" t="s">
        <v>944</v>
      </c>
      <c r="F349" s="105">
        <f>+Salary!Q329</f>
        <v>0</v>
      </c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4.25" customHeight="1" x14ac:dyDescent="0.35">
      <c r="A350" s="1"/>
      <c r="B350" s="24">
        <v>20</v>
      </c>
      <c r="C350" s="1" t="s">
        <v>970</v>
      </c>
      <c r="D350" s="125" t="s">
        <v>454</v>
      </c>
      <c r="E350" s="164" t="s">
        <v>971</v>
      </c>
      <c r="F350" s="105">
        <f>+Salary!Q344</f>
        <v>0</v>
      </c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4.25" customHeight="1" x14ac:dyDescent="0.35">
      <c r="A351" s="1"/>
      <c r="B351" s="24">
        <v>21</v>
      </c>
      <c r="C351" s="1" t="s">
        <v>992</v>
      </c>
      <c r="D351" s="125" t="s">
        <v>378</v>
      </c>
      <c r="E351" s="164" t="s">
        <v>994</v>
      </c>
      <c r="F351" s="105">
        <f>+Salary!Q336</f>
        <v>0</v>
      </c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4.25" customHeight="1" x14ac:dyDescent="0.35">
      <c r="A352" s="1"/>
      <c r="B352" s="24">
        <v>22</v>
      </c>
      <c r="C352" s="1" t="s">
        <v>947</v>
      </c>
      <c r="D352" s="125" t="s">
        <v>512</v>
      </c>
      <c r="E352" s="164" t="s">
        <v>948</v>
      </c>
      <c r="F352" s="105">
        <f>+Salary!Q361</f>
        <v>0</v>
      </c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4.25" customHeight="1" x14ac:dyDescent="0.35">
      <c r="A353" s="1"/>
      <c r="B353" s="24">
        <v>23</v>
      </c>
      <c r="C353" s="1" t="s">
        <v>935</v>
      </c>
      <c r="D353" s="125" t="s">
        <v>563</v>
      </c>
      <c r="E353" s="164" t="s">
        <v>936</v>
      </c>
      <c r="F353" s="105">
        <f>+Salary!Q339</f>
        <v>0</v>
      </c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4.25" customHeight="1" x14ac:dyDescent="0.35">
      <c r="A354" s="1"/>
      <c r="B354" s="24">
        <v>24</v>
      </c>
      <c r="C354" s="1" t="s">
        <v>996</v>
      </c>
      <c r="D354" s="125" t="s">
        <v>378</v>
      </c>
      <c r="E354" s="164" t="s">
        <v>997</v>
      </c>
      <c r="F354" s="105">
        <f>+Salary!Q369</f>
        <v>0</v>
      </c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4.25" customHeight="1" x14ac:dyDescent="0.35">
      <c r="A355" s="1"/>
      <c r="B355" s="24">
        <v>25</v>
      </c>
      <c r="C355" s="1" t="s">
        <v>987</v>
      </c>
      <c r="D355" s="125" t="s">
        <v>378</v>
      </c>
      <c r="E355" s="164" t="s">
        <v>988</v>
      </c>
      <c r="F355" s="105">
        <f>+Salary!Q370</f>
        <v>0</v>
      </c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4.25" customHeight="1" x14ac:dyDescent="0.35">
      <c r="A356" s="1"/>
      <c r="B356" s="24">
        <v>26</v>
      </c>
      <c r="C356" s="1" t="s">
        <v>1001</v>
      </c>
      <c r="D356" s="125" t="s">
        <v>512</v>
      </c>
      <c r="E356" s="164" t="s">
        <v>1002</v>
      </c>
      <c r="F356" s="105">
        <f>+Salary!Q335</f>
        <v>0</v>
      </c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4.25" customHeight="1" x14ac:dyDescent="0.35">
      <c r="A357" s="1"/>
      <c r="B357" s="24">
        <v>28</v>
      </c>
      <c r="C357" s="1" t="s">
        <v>1010</v>
      </c>
      <c r="D357" s="125" t="s">
        <v>10</v>
      </c>
      <c r="E357" s="164" t="s">
        <v>1011</v>
      </c>
      <c r="F357" s="105">
        <f>+Salary!Q337</f>
        <v>0</v>
      </c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4.25" customHeight="1" x14ac:dyDescent="0.35">
      <c r="A358" s="1"/>
      <c r="B358" s="24">
        <v>29</v>
      </c>
      <c r="C358" s="1" t="s">
        <v>1005</v>
      </c>
      <c r="D358" s="33" t="s">
        <v>512</v>
      </c>
      <c r="E358" s="164" t="s">
        <v>1320</v>
      </c>
      <c r="F358" s="105">
        <f>+Salary!Q351</f>
        <v>0</v>
      </c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4.25" customHeight="1" x14ac:dyDescent="0.35">
      <c r="A359" s="1"/>
      <c r="B359" s="24">
        <v>30</v>
      </c>
      <c r="C359" s="1" t="s">
        <v>1008</v>
      </c>
      <c r="D359" s="125" t="s">
        <v>313</v>
      </c>
      <c r="E359" s="164" t="s">
        <v>1009</v>
      </c>
      <c r="F359" s="105">
        <f>+Salary!Q362</f>
        <v>0</v>
      </c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4.25" customHeight="1" x14ac:dyDescent="0.35">
      <c r="A360" s="1"/>
      <c r="B360" s="24">
        <v>31</v>
      </c>
      <c r="C360" s="1" t="s">
        <v>1015</v>
      </c>
      <c r="D360" s="125" t="s">
        <v>454</v>
      </c>
      <c r="E360" s="164" t="s">
        <v>1016</v>
      </c>
      <c r="F360" s="105">
        <f>+Salary!Q354</f>
        <v>0</v>
      </c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4.25" customHeight="1" x14ac:dyDescent="0.35">
      <c r="A361" s="1"/>
      <c r="B361" s="24">
        <v>32</v>
      </c>
      <c r="C361" s="1" t="s">
        <v>1018</v>
      </c>
      <c r="D361" s="125" t="s">
        <v>454</v>
      </c>
      <c r="E361" s="164" t="s">
        <v>1019</v>
      </c>
      <c r="F361" s="105">
        <f>+Salary!Q356</f>
        <v>0</v>
      </c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4.25" customHeight="1" x14ac:dyDescent="0.35">
      <c r="A362" s="1"/>
      <c r="B362" s="24">
        <v>33</v>
      </c>
      <c r="C362" s="1" t="s">
        <v>1021</v>
      </c>
      <c r="D362" s="125" t="s">
        <v>596</v>
      </c>
      <c r="E362" s="164" t="s">
        <v>1023</v>
      </c>
      <c r="F362" s="105">
        <f>+Salary!Q333</f>
        <v>0</v>
      </c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4.25" customHeight="1" x14ac:dyDescent="0.35">
      <c r="A363" s="1"/>
      <c r="B363" s="24">
        <v>34</v>
      </c>
      <c r="C363" s="1" t="s">
        <v>1024</v>
      </c>
      <c r="D363" s="125" t="s">
        <v>454</v>
      </c>
      <c r="E363" s="164" t="s">
        <v>1025</v>
      </c>
      <c r="F363" s="105">
        <f>+Salary!Q357</f>
        <v>0</v>
      </c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4.25" customHeight="1" x14ac:dyDescent="0.35">
      <c r="A364" s="1"/>
      <c r="B364" s="24">
        <v>35</v>
      </c>
      <c r="C364" s="1" t="s">
        <v>1027</v>
      </c>
      <c r="D364" s="125" t="s">
        <v>454</v>
      </c>
      <c r="E364" s="164" t="s">
        <v>1028</v>
      </c>
      <c r="F364" s="105">
        <f>+Salary!Q355</f>
        <v>0</v>
      </c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4.25" customHeight="1" x14ac:dyDescent="0.35">
      <c r="A365" s="1"/>
      <c r="B365" s="24">
        <v>36</v>
      </c>
      <c r="C365" s="1" t="s">
        <v>1029</v>
      </c>
      <c r="D365" s="125" t="s">
        <v>1030</v>
      </c>
      <c r="E365" s="164" t="s">
        <v>1031</v>
      </c>
      <c r="F365" s="105">
        <f>+Salary!Q366</f>
        <v>0</v>
      </c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4.25" customHeight="1" x14ac:dyDescent="0.35">
      <c r="A366" s="1"/>
      <c r="B366" s="24">
        <v>37</v>
      </c>
      <c r="C366" s="1" t="s">
        <v>1032</v>
      </c>
      <c r="D366" s="125" t="s">
        <v>378</v>
      </c>
      <c r="E366" s="164" t="s">
        <v>1033</v>
      </c>
      <c r="F366" s="105">
        <f>+Salary!Q368</f>
        <v>0</v>
      </c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4.25" customHeight="1" x14ac:dyDescent="0.35">
      <c r="A367" s="1"/>
      <c r="B367" s="24">
        <v>38</v>
      </c>
      <c r="C367" s="1" t="s">
        <v>1034</v>
      </c>
      <c r="D367" s="125" t="s">
        <v>512</v>
      </c>
      <c r="E367" s="164" t="s">
        <v>1037</v>
      </c>
      <c r="F367" s="105">
        <f>+Salary!Q345</f>
        <v>0</v>
      </c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4.25" customHeight="1" x14ac:dyDescent="0.35">
      <c r="A368" s="1"/>
      <c r="B368" s="24">
        <v>39</v>
      </c>
      <c r="C368" s="40" t="s">
        <v>1039</v>
      </c>
      <c r="D368" s="113" t="s">
        <v>10</v>
      </c>
      <c r="E368" s="114" t="s">
        <v>1040</v>
      </c>
      <c r="F368" s="105">
        <f>+Salary!Q372</f>
        <v>0</v>
      </c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4.25" customHeight="1" x14ac:dyDescent="0.35">
      <c r="A369" s="1"/>
      <c r="B369" s="24">
        <v>40</v>
      </c>
      <c r="C369" s="40" t="s">
        <v>1043</v>
      </c>
      <c r="D369" s="113" t="s">
        <v>593</v>
      </c>
      <c r="E369" s="114" t="s">
        <v>1044</v>
      </c>
      <c r="F369" s="105">
        <f>+Salary!Q341</f>
        <v>0</v>
      </c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4.25" customHeight="1" x14ac:dyDescent="0.35">
      <c r="A370" s="1"/>
      <c r="B370" s="24">
        <v>41</v>
      </c>
      <c r="C370" s="40" t="s">
        <v>1046</v>
      </c>
      <c r="D370" s="113" t="s">
        <v>596</v>
      </c>
      <c r="E370" s="114" t="s">
        <v>1047</v>
      </c>
      <c r="F370" s="105">
        <f>+Salary!Q359</f>
        <v>0</v>
      </c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4.25" customHeight="1" x14ac:dyDescent="0.35">
      <c r="A371" s="1"/>
      <c r="B371" s="24">
        <v>42</v>
      </c>
      <c r="C371" s="1" t="s">
        <v>1051</v>
      </c>
      <c r="D371" s="113" t="s">
        <v>378</v>
      </c>
      <c r="E371" s="114" t="s">
        <v>1052</v>
      </c>
      <c r="F371" s="6">
        <f>+Salary!Q328</f>
        <v>0</v>
      </c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4.25" customHeight="1" x14ac:dyDescent="0.35">
      <c r="A372" s="1"/>
      <c r="B372" s="24"/>
      <c r="C372" s="1" t="s">
        <v>1054</v>
      </c>
      <c r="D372" s="113" t="s">
        <v>454</v>
      </c>
      <c r="E372" s="114" t="s">
        <v>1055</v>
      </c>
      <c r="F372" s="6">
        <f>+Salary!Q348</f>
        <v>0</v>
      </c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4.25" customHeight="1" x14ac:dyDescent="0.35">
      <c r="A373" s="1"/>
      <c r="B373" s="24"/>
      <c r="C373" s="1" t="s">
        <v>1056</v>
      </c>
      <c r="D373" s="113" t="s">
        <v>313</v>
      </c>
      <c r="E373" s="114" t="s">
        <v>1057</v>
      </c>
      <c r="F373" s="6">
        <f>+Salary!Q342</f>
        <v>0</v>
      </c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4.25" customHeight="1" x14ac:dyDescent="0.35">
      <c r="A374" s="1"/>
      <c r="B374" s="24"/>
      <c r="C374" s="1" t="s">
        <v>1060</v>
      </c>
      <c r="D374" s="113" t="s">
        <v>378</v>
      </c>
      <c r="E374" s="114" t="s">
        <v>1061</v>
      </c>
      <c r="F374" s="6">
        <f>+Salary!Q367</f>
        <v>0</v>
      </c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4.25" customHeight="1" x14ac:dyDescent="0.35">
      <c r="A375" s="338"/>
      <c r="B375" s="338"/>
      <c r="C375" s="338" t="s">
        <v>620</v>
      </c>
      <c r="D375" s="338"/>
      <c r="E375" s="338"/>
      <c r="F375" s="339">
        <f>SUM(F331:F374)</f>
        <v>0</v>
      </c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4.25" customHeight="1" x14ac:dyDescent="0.35">
      <c r="A376" s="275"/>
      <c r="B376" s="275"/>
      <c r="C376" s="275" t="s">
        <v>752</v>
      </c>
      <c r="D376" s="275"/>
      <c r="E376" s="275"/>
      <c r="F376" s="276">
        <f>F375+F330+F325</f>
        <v>0</v>
      </c>
      <c r="G376" s="247"/>
      <c r="H376" s="247"/>
      <c r="I376" s="247"/>
      <c r="J376" s="247"/>
      <c r="K376" s="247"/>
      <c r="L376" s="247"/>
      <c r="M376" s="247"/>
      <c r="N376" s="247"/>
      <c r="O376" s="247"/>
      <c r="P376" s="247"/>
      <c r="Q376" s="247"/>
      <c r="R376" s="247"/>
      <c r="S376" s="247"/>
      <c r="T376" s="247"/>
      <c r="U376" s="247"/>
      <c r="V376" s="247"/>
      <c r="W376" s="247"/>
      <c r="X376" s="247"/>
      <c r="Y376" s="247"/>
      <c r="Z376" s="247"/>
    </row>
    <row r="377" spans="1:26" ht="14.25" customHeight="1" x14ac:dyDescent="0.35">
      <c r="A377" s="247"/>
      <c r="B377" s="247"/>
      <c r="C377" s="247"/>
      <c r="D377" s="247"/>
      <c r="E377" s="247"/>
      <c r="F377" s="340"/>
      <c r="G377" s="247"/>
      <c r="H377" s="247"/>
      <c r="I377" s="247"/>
      <c r="J377" s="247"/>
      <c r="K377" s="247"/>
      <c r="L377" s="247"/>
      <c r="M377" s="247"/>
      <c r="N377" s="247"/>
      <c r="O377" s="247"/>
      <c r="P377" s="247"/>
      <c r="Q377" s="247"/>
      <c r="R377" s="247"/>
      <c r="S377" s="247"/>
      <c r="T377" s="247"/>
      <c r="U377" s="247"/>
      <c r="V377" s="247"/>
      <c r="W377" s="247"/>
      <c r="X377" s="247"/>
      <c r="Y377" s="247"/>
      <c r="Z377" s="247"/>
    </row>
    <row r="378" spans="1:26" ht="14.25" customHeight="1" x14ac:dyDescent="0.35">
      <c r="A378" s="10"/>
      <c r="B378" s="207" t="s">
        <v>1072</v>
      </c>
      <c r="C378" s="10"/>
      <c r="D378" s="10"/>
      <c r="E378" s="10"/>
      <c r="F378" s="25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4.25" customHeight="1" x14ac:dyDescent="0.35">
      <c r="A379" s="1"/>
      <c r="B379" s="15" t="s">
        <v>758</v>
      </c>
      <c r="C379" s="17" t="s">
        <v>3</v>
      </c>
      <c r="D379" s="15" t="s">
        <v>4</v>
      </c>
      <c r="E379" s="15" t="s">
        <v>762</v>
      </c>
      <c r="F379" s="281" t="s">
        <v>6</v>
      </c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4.25" customHeight="1" x14ac:dyDescent="0.35">
      <c r="A380" s="1"/>
      <c r="B380" s="15"/>
      <c r="C380" s="17"/>
      <c r="D380" s="15"/>
      <c r="E380" s="15"/>
      <c r="F380" s="281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4.25" customHeight="1" x14ac:dyDescent="0.35">
      <c r="A381" s="1"/>
      <c r="B381" s="24">
        <v>1</v>
      </c>
      <c r="C381" s="33" t="s">
        <v>1078</v>
      </c>
      <c r="D381" s="24" t="s">
        <v>313</v>
      </c>
      <c r="E381" s="24" t="s">
        <v>1079</v>
      </c>
      <c r="F381" s="341">
        <f>+Salary!Q392</f>
        <v>0</v>
      </c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4.25" customHeight="1" x14ac:dyDescent="0.35">
      <c r="A382" s="1"/>
      <c r="B382" s="342"/>
      <c r="C382" s="343"/>
      <c r="D382" s="342"/>
      <c r="E382" s="342"/>
      <c r="F382" s="344">
        <f>+F381</f>
        <v>0</v>
      </c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4.25" customHeight="1" x14ac:dyDescent="0.35">
      <c r="A383" s="1"/>
      <c r="B383" s="24">
        <v>2</v>
      </c>
      <c r="C383" s="177" t="s">
        <v>1117</v>
      </c>
      <c r="D383" s="107">
        <v>163047</v>
      </c>
      <c r="E383" s="107">
        <v>3200193033</v>
      </c>
      <c r="F383" s="109">
        <f>+Salary!Q385</f>
        <v>0</v>
      </c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4.25" customHeight="1" x14ac:dyDescent="0.35">
      <c r="A384" s="1"/>
      <c r="B384" s="342"/>
      <c r="C384" s="345"/>
      <c r="D384" s="346"/>
      <c r="E384" s="345"/>
      <c r="F384" s="347">
        <f>+F383</f>
        <v>0</v>
      </c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4.25" customHeight="1" x14ac:dyDescent="0.35">
      <c r="A385" s="1"/>
      <c r="B385" s="24">
        <v>1</v>
      </c>
      <c r="C385" s="1" t="s">
        <v>1354</v>
      </c>
      <c r="D385" s="125" t="s">
        <v>313</v>
      </c>
      <c r="E385" s="144" t="s">
        <v>1355</v>
      </c>
      <c r="F385" s="84">
        <f>+Salary!Q382</f>
        <v>0</v>
      </c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4.25" customHeight="1" x14ac:dyDescent="0.35">
      <c r="A386" s="1"/>
      <c r="B386" s="24">
        <v>3</v>
      </c>
      <c r="C386" s="177" t="s">
        <v>1099</v>
      </c>
      <c r="D386" s="164" t="s">
        <v>10</v>
      </c>
      <c r="E386" s="348" t="s">
        <v>1100</v>
      </c>
      <c r="F386" s="109">
        <f>+Salary!Q387</f>
        <v>0</v>
      </c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4.25" customHeight="1" x14ac:dyDescent="0.35">
      <c r="A387" s="1"/>
      <c r="B387" s="24">
        <v>4</v>
      </c>
      <c r="C387" s="107" t="s">
        <v>1357</v>
      </c>
      <c r="D387" s="164" t="s">
        <v>563</v>
      </c>
      <c r="E387" s="107">
        <v>7247507873</v>
      </c>
      <c r="F387" s="282">
        <f>+Salary!Q378</f>
        <v>0</v>
      </c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4.25" customHeight="1" x14ac:dyDescent="0.35">
      <c r="A388" s="1"/>
      <c r="B388" s="24">
        <v>5</v>
      </c>
      <c r="C388" s="1" t="s">
        <v>1360</v>
      </c>
      <c r="D388" s="125" t="s">
        <v>454</v>
      </c>
      <c r="E388" s="144" t="s">
        <v>1361</v>
      </c>
      <c r="F388" s="84">
        <f>+Salary!Q389</f>
        <v>0</v>
      </c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4.25" customHeight="1" x14ac:dyDescent="0.35">
      <c r="A389" s="1"/>
      <c r="B389" s="24">
        <v>6</v>
      </c>
      <c r="C389" s="1" t="s">
        <v>1111</v>
      </c>
      <c r="D389" s="164" t="s">
        <v>907</v>
      </c>
      <c r="E389" s="125" t="s">
        <v>1112</v>
      </c>
      <c r="F389" s="87">
        <f>+Salary!Q384</f>
        <v>0</v>
      </c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4.25" customHeight="1" x14ac:dyDescent="0.35">
      <c r="A390" s="1"/>
      <c r="B390" s="24">
        <v>7</v>
      </c>
      <c r="C390" s="1" t="s">
        <v>1105</v>
      </c>
      <c r="D390" s="164" t="s">
        <v>454</v>
      </c>
      <c r="E390" s="125" t="s">
        <v>1107</v>
      </c>
      <c r="F390" s="87">
        <f>+Salary!Q388</f>
        <v>0</v>
      </c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4.25" customHeight="1" x14ac:dyDescent="0.35">
      <c r="A391" s="1"/>
      <c r="B391" s="24">
        <v>8</v>
      </c>
      <c r="C391" s="1" t="s">
        <v>1362</v>
      </c>
      <c r="D391" s="164" t="s">
        <v>454</v>
      </c>
      <c r="E391" s="125" t="s">
        <v>1363</v>
      </c>
      <c r="F391" s="87">
        <f>+Salary!Q377</f>
        <v>0</v>
      </c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4.25" customHeight="1" x14ac:dyDescent="0.35">
      <c r="A392" s="1"/>
      <c r="B392" s="24">
        <v>9</v>
      </c>
      <c r="C392" s="1" t="s">
        <v>1364</v>
      </c>
      <c r="D392" s="164" t="s">
        <v>136</v>
      </c>
      <c r="E392" s="125" t="s">
        <v>1365</v>
      </c>
      <c r="F392" s="87">
        <f>+Salary!Q386</f>
        <v>0</v>
      </c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4.25" customHeight="1" x14ac:dyDescent="0.35">
      <c r="A393" s="1"/>
      <c r="B393" s="24">
        <v>10</v>
      </c>
      <c r="C393" s="1" t="s">
        <v>1113</v>
      </c>
      <c r="D393" s="164" t="s">
        <v>512</v>
      </c>
      <c r="E393" s="125" t="s">
        <v>1114</v>
      </c>
      <c r="F393" s="87">
        <f>+Salary!Q380</f>
        <v>0</v>
      </c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4.25" customHeight="1" x14ac:dyDescent="0.35">
      <c r="A394" s="1"/>
      <c r="B394" s="24">
        <v>11</v>
      </c>
      <c r="C394" s="1" t="s">
        <v>1086</v>
      </c>
      <c r="D394" s="164" t="s">
        <v>563</v>
      </c>
      <c r="E394" s="125" t="s">
        <v>1087</v>
      </c>
      <c r="F394" s="87">
        <f>+Salary!Q381</f>
        <v>0</v>
      </c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4.25" customHeight="1" x14ac:dyDescent="0.35">
      <c r="A395" s="1"/>
      <c r="B395" s="24">
        <v>12</v>
      </c>
      <c r="C395" s="1" t="s">
        <v>1119</v>
      </c>
      <c r="D395" s="164" t="s">
        <v>1120</v>
      </c>
      <c r="E395" s="125" t="s">
        <v>1121</v>
      </c>
      <c r="F395" s="87">
        <f>+Salary!Q391</f>
        <v>0</v>
      </c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4.25" customHeight="1" x14ac:dyDescent="0.35">
      <c r="A396" s="1"/>
      <c r="B396" s="24">
        <v>13</v>
      </c>
      <c r="C396" s="1" t="s">
        <v>1102</v>
      </c>
      <c r="D396" s="164" t="s">
        <v>378</v>
      </c>
      <c r="E396" s="125" t="s">
        <v>1103</v>
      </c>
      <c r="F396" s="87">
        <f>+Salary!Q383</f>
        <v>0</v>
      </c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4.25" customHeight="1" x14ac:dyDescent="0.35">
      <c r="A397" s="1"/>
      <c r="B397" s="24">
        <v>14</v>
      </c>
      <c r="C397" s="1" t="s">
        <v>1372</v>
      </c>
      <c r="D397" s="164" t="s">
        <v>563</v>
      </c>
      <c r="E397" s="33">
        <v>7247506586</v>
      </c>
      <c r="F397" s="87">
        <f>+Salary!Q404</f>
        <v>0</v>
      </c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4.25" customHeight="1" x14ac:dyDescent="0.35">
      <c r="A398" s="1"/>
      <c r="B398" s="24">
        <v>15</v>
      </c>
      <c r="C398" s="1" t="s">
        <v>1090</v>
      </c>
      <c r="D398" s="164" t="s">
        <v>563</v>
      </c>
      <c r="E398" s="125" t="s">
        <v>1091</v>
      </c>
      <c r="F398" s="87">
        <f>+Salary!Q379</f>
        <v>0</v>
      </c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4.25" customHeight="1" x14ac:dyDescent="0.35">
      <c r="A399" s="1"/>
      <c r="B399" s="24">
        <v>16</v>
      </c>
      <c r="C399" s="1" t="s">
        <v>1093</v>
      </c>
      <c r="D399" s="164" t="s">
        <v>10</v>
      </c>
      <c r="E399" s="125" t="s">
        <v>1376</v>
      </c>
      <c r="F399" s="87">
        <f>+Salary!Q390</f>
        <v>0</v>
      </c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4.25" customHeight="1" x14ac:dyDescent="0.35">
      <c r="A400" s="1"/>
      <c r="B400" s="24">
        <v>17</v>
      </c>
      <c r="C400" s="1" t="s">
        <v>1377</v>
      </c>
      <c r="D400" s="164" t="s">
        <v>378</v>
      </c>
      <c r="E400" s="46">
        <v>9030009242219</v>
      </c>
      <c r="F400" s="87">
        <f>+Salary!Q405</f>
        <v>0</v>
      </c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4.25" customHeight="1" x14ac:dyDescent="0.35">
      <c r="A401" s="1"/>
      <c r="B401" s="24">
        <v>18</v>
      </c>
      <c r="C401" s="1" t="s">
        <v>1379</v>
      </c>
      <c r="D401" s="125" t="s">
        <v>378</v>
      </c>
      <c r="E401" s="144" t="s">
        <v>1380</v>
      </c>
      <c r="F401" s="87">
        <f>+Salary!Q398</f>
        <v>0</v>
      </c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4.25" customHeight="1" x14ac:dyDescent="0.35">
      <c r="A402" s="1"/>
      <c r="B402" s="24">
        <v>19</v>
      </c>
      <c r="C402" s="1" t="s">
        <v>1381</v>
      </c>
      <c r="D402" s="125" t="s">
        <v>378</v>
      </c>
      <c r="E402" s="46">
        <v>9030022860053</v>
      </c>
      <c r="F402" s="87">
        <f>+Salary!Q397</f>
        <v>0</v>
      </c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4.25" customHeight="1" x14ac:dyDescent="0.35">
      <c r="A403" s="1"/>
      <c r="B403" s="24">
        <v>20</v>
      </c>
      <c r="C403" s="1" t="s">
        <v>1387</v>
      </c>
      <c r="D403" s="125" t="s">
        <v>378</v>
      </c>
      <c r="E403" s="46">
        <v>9030021018111</v>
      </c>
      <c r="F403" s="87">
        <f>+Salary!Q409</f>
        <v>0</v>
      </c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4.25" customHeight="1" x14ac:dyDescent="0.35">
      <c r="A404" s="1"/>
      <c r="B404" s="24">
        <v>21</v>
      </c>
      <c r="C404" s="1" t="s">
        <v>1388</v>
      </c>
      <c r="D404" s="125" t="s">
        <v>454</v>
      </c>
      <c r="E404" s="144" t="s">
        <v>1389</v>
      </c>
      <c r="F404" s="84">
        <f>+Salary!Q399</f>
        <v>0</v>
      </c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4.25" customHeight="1" x14ac:dyDescent="0.35">
      <c r="A405" s="1"/>
      <c r="B405" s="24">
        <v>22</v>
      </c>
      <c r="C405" s="1" t="s">
        <v>1393</v>
      </c>
      <c r="D405" s="125" t="s">
        <v>454</v>
      </c>
      <c r="E405" s="164" t="s">
        <v>1394</v>
      </c>
      <c r="F405" s="105">
        <f>+Salary!Q396</f>
        <v>0</v>
      </c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4.25" customHeight="1" x14ac:dyDescent="0.35">
      <c r="A406" s="1"/>
      <c r="B406" s="24">
        <v>23</v>
      </c>
      <c r="C406" s="1" t="s">
        <v>1395</v>
      </c>
      <c r="D406" s="125" t="s">
        <v>454</v>
      </c>
      <c r="E406" s="164" t="s">
        <v>1396</v>
      </c>
      <c r="F406" s="105">
        <f>+Salary!Q407</f>
        <v>0</v>
      </c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4.25" customHeight="1" x14ac:dyDescent="0.35">
      <c r="A407" s="1"/>
      <c r="B407" s="24">
        <v>24</v>
      </c>
      <c r="C407" s="1" t="s">
        <v>1400</v>
      </c>
      <c r="D407" s="164" t="s">
        <v>593</v>
      </c>
      <c r="E407" s="144" t="s">
        <v>1401</v>
      </c>
      <c r="F407" s="87">
        <f>+Salary!Q402</f>
        <v>0</v>
      </c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4.25" customHeight="1" x14ac:dyDescent="0.35">
      <c r="A408" s="1"/>
      <c r="B408" s="24">
        <v>25</v>
      </c>
      <c r="C408" s="1" t="s">
        <v>1402</v>
      </c>
      <c r="D408" s="164" t="s">
        <v>563</v>
      </c>
      <c r="E408" s="46">
        <v>7247507730</v>
      </c>
      <c r="F408" s="84">
        <f>+Salary!Q408</f>
        <v>0</v>
      </c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4.25" customHeight="1" x14ac:dyDescent="0.35">
      <c r="A409" s="1"/>
      <c r="B409" s="24">
        <v>26</v>
      </c>
      <c r="C409" s="1" t="s">
        <v>1405</v>
      </c>
      <c r="D409" s="125" t="s">
        <v>512</v>
      </c>
      <c r="E409" s="125" t="s">
        <v>1406</v>
      </c>
      <c r="F409" s="105">
        <f>+Salary!Q400</f>
        <v>0</v>
      </c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4.25" customHeight="1" x14ac:dyDescent="0.35">
      <c r="A410" s="1"/>
      <c r="B410" s="24">
        <v>27</v>
      </c>
      <c r="C410" s="1" t="s">
        <v>1407</v>
      </c>
      <c r="D410" s="33">
        <v>163047</v>
      </c>
      <c r="E410" s="33">
        <v>3202014289</v>
      </c>
      <c r="F410" s="105">
        <f>+Salary!Q403</f>
        <v>0</v>
      </c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4.25" customHeight="1" x14ac:dyDescent="0.35">
      <c r="A411" s="1"/>
      <c r="B411" s="24">
        <v>28</v>
      </c>
      <c r="C411" s="1" t="s">
        <v>1411</v>
      </c>
      <c r="D411" s="164" t="s">
        <v>10</v>
      </c>
      <c r="E411" s="164" t="s">
        <v>1412</v>
      </c>
      <c r="F411" s="105">
        <f>+Salary!Q401</f>
        <v>0</v>
      </c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4.25" customHeight="1" x14ac:dyDescent="0.35">
      <c r="A412" s="1"/>
      <c r="B412" s="24">
        <v>29</v>
      </c>
      <c r="C412" s="33" t="s">
        <v>1413</v>
      </c>
      <c r="D412" s="164" t="s">
        <v>10</v>
      </c>
      <c r="E412" s="294" t="s">
        <v>1414</v>
      </c>
      <c r="F412" s="87">
        <f>+Salary!Q406</f>
        <v>0</v>
      </c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4.25" customHeight="1" x14ac:dyDescent="0.35">
      <c r="A413" s="1"/>
      <c r="B413" s="338"/>
      <c r="C413" s="338" t="s">
        <v>620</v>
      </c>
      <c r="D413" s="338"/>
      <c r="E413" s="338"/>
      <c r="F413" s="339">
        <f>SUM(F385:F412)</f>
        <v>0</v>
      </c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4.25" customHeight="1" x14ac:dyDescent="0.35">
      <c r="A414" s="1"/>
      <c r="B414" s="375"/>
      <c r="C414" s="375" t="s">
        <v>752</v>
      </c>
      <c r="D414" s="375"/>
      <c r="E414" s="375"/>
      <c r="F414" s="376">
        <f>F413+F384+F382</f>
        <v>0</v>
      </c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4.25" customHeight="1" x14ac:dyDescent="0.35">
      <c r="A415" s="10"/>
      <c r="B415" s="10"/>
      <c r="C415" s="10"/>
      <c r="D415" s="10"/>
      <c r="E415" s="10"/>
      <c r="F415" s="25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4.25" customHeight="1" x14ac:dyDescent="0.35">
      <c r="A416" s="1"/>
      <c r="B416" s="3" t="s">
        <v>1125</v>
      </c>
      <c r="C416" s="1"/>
      <c r="D416" s="1"/>
      <c r="E416" s="1"/>
      <c r="F416" s="6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4.25" customHeight="1" x14ac:dyDescent="0.35">
      <c r="A417" s="1"/>
      <c r="B417" s="15" t="s">
        <v>758</v>
      </c>
      <c r="C417" s="17" t="s">
        <v>3</v>
      </c>
      <c r="D417" s="15" t="s">
        <v>4</v>
      </c>
      <c r="E417" s="15" t="s">
        <v>762</v>
      </c>
      <c r="F417" s="281" t="s">
        <v>6</v>
      </c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4.25" customHeight="1" x14ac:dyDescent="0.35">
      <c r="A418" s="1"/>
      <c r="B418" s="15"/>
      <c r="C418" s="17"/>
      <c r="D418" s="15"/>
      <c r="E418" s="15"/>
      <c r="F418" s="281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4.25" customHeight="1" x14ac:dyDescent="0.35">
      <c r="A419" s="1"/>
      <c r="B419" s="24">
        <v>1</v>
      </c>
      <c r="C419" s="33" t="s">
        <v>1129</v>
      </c>
      <c r="D419" s="24" t="s">
        <v>563</v>
      </c>
      <c r="E419" s="24" t="s">
        <v>1130</v>
      </c>
      <c r="F419" s="341">
        <f>+Salary!Q421</f>
        <v>0</v>
      </c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4.25" customHeight="1" x14ac:dyDescent="0.35">
      <c r="A420" s="1"/>
      <c r="B420" s="383"/>
      <c r="C420" s="384"/>
      <c r="D420" s="385"/>
      <c r="E420" s="387"/>
      <c r="F420" s="389">
        <f>+F419</f>
        <v>0</v>
      </c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4.25" customHeight="1" x14ac:dyDescent="0.35">
      <c r="A421" s="1"/>
      <c r="B421" s="24">
        <v>1</v>
      </c>
      <c r="C421" s="1" t="s">
        <v>1133</v>
      </c>
      <c r="D421" s="33">
        <v>290147</v>
      </c>
      <c r="E421" s="46">
        <v>7247506986</v>
      </c>
      <c r="F421" s="87">
        <f>+Salary!Q417</f>
        <v>0</v>
      </c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2.75" customHeight="1" x14ac:dyDescent="0.35">
      <c r="A422" s="1"/>
      <c r="B422" s="24">
        <v>2</v>
      </c>
      <c r="C422" s="1" t="s">
        <v>1137</v>
      </c>
      <c r="D422" s="125" t="s">
        <v>512</v>
      </c>
      <c r="E422" s="164" t="s">
        <v>1138</v>
      </c>
      <c r="F422" s="105">
        <f>+Salary!Q423</f>
        <v>0</v>
      </c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2.75" customHeight="1" x14ac:dyDescent="0.35">
      <c r="A423" s="1"/>
      <c r="B423" s="24"/>
      <c r="C423" s="1"/>
      <c r="D423" s="33"/>
      <c r="E423" s="1"/>
      <c r="F423" s="105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4.25" customHeight="1" x14ac:dyDescent="0.35">
      <c r="A424" s="1"/>
      <c r="B424" s="383"/>
      <c r="C424" s="384"/>
      <c r="D424" s="384"/>
      <c r="E424" s="387"/>
      <c r="F424" s="389">
        <f>F422+F421</f>
        <v>0</v>
      </c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4.25" customHeight="1" x14ac:dyDescent="0.35">
      <c r="A425" s="1"/>
      <c r="B425" s="24">
        <v>1</v>
      </c>
      <c r="C425" s="1" t="s">
        <v>1141</v>
      </c>
      <c r="D425" s="164" t="s">
        <v>10</v>
      </c>
      <c r="E425" s="125" t="s">
        <v>1142</v>
      </c>
      <c r="F425" s="87">
        <f>+Salary!Q416</f>
        <v>0</v>
      </c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4.25" customHeight="1" x14ac:dyDescent="0.35">
      <c r="A426" s="1"/>
      <c r="B426" s="24">
        <v>2</v>
      </c>
      <c r="C426" s="1" t="s">
        <v>1145</v>
      </c>
      <c r="D426" s="164" t="s">
        <v>313</v>
      </c>
      <c r="E426" s="164" t="s">
        <v>1146</v>
      </c>
      <c r="F426" s="105">
        <f>+Salary!Q415</f>
        <v>0</v>
      </c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4.25" customHeight="1" x14ac:dyDescent="0.35">
      <c r="A427" s="1"/>
      <c r="B427" s="24">
        <v>3</v>
      </c>
      <c r="C427" s="1" t="s">
        <v>1149</v>
      </c>
      <c r="D427" s="164" t="s">
        <v>454</v>
      </c>
      <c r="E427" s="164" t="s">
        <v>1150</v>
      </c>
      <c r="F427" s="87">
        <f>+Salary!Q420</f>
        <v>0</v>
      </c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4.25" customHeight="1" x14ac:dyDescent="0.35">
      <c r="A428" s="1"/>
      <c r="B428" s="24">
        <v>4</v>
      </c>
      <c r="C428" s="1" t="s">
        <v>1429</v>
      </c>
      <c r="D428" s="164" t="s">
        <v>313</v>
      </c>
      <c r="E428" s="33">
        <v>6008426749</v>
      </c>
      <c r="F428" s="87">
        <f>+Salary!Q430</f>
        <v>0</v>
      </c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4.25" customHeight="1" x14ac:dyDescent="0.35">
      <c r="A429" s="1"/>
      <c r="B429" s="24">
        <v>5</v>
      </c>
      <c r="C429" s="1" t="s">
        <v>1157</v>
      </c>
      <c r="D429" s="164" t="s">
        <v>907</v>
      </c>
      <c r="E429" s="164" t="s">
        <v>1158</v>
      </c>
      <c r="F429" s="87">
        <f>+Salary!Q419</f>
        <v>0</v>
      </c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4.25" customHeight="1" x14ac:dyDescent="0.35">
      <c r="A430" s="1"/>
      <c r="B430" s="24">
        <v>27</v>
      </c>
      <c r="C430" s="1" t="s">
        <v>1151</v>
      </c>
      <c r="D430" s="125" t="s">
        <v>313</v>
      </c>
      <c r="E430" s="164" t="s">
        <v>1152</v>
      </c>
      <c r="F430" s="105">
        <f>+Salary!Q414</f>
        <v>0</v>
      </c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4.25" customHeight="1" x14ac:dyDescent="0.35">
      <c r="A431" s="1"/>
      <c r="B431" s="24">
        <v>6</v>
      </c>
      <c r="C431" s="1" t="s">
        <v>1432</v>
      </c>
      <c r="D431" s="125" t="s">
        <v>512</v>
      </c>
      <c r="E431" s="46">
        <v>3202723672</v>
      </c>
      <c r="F431" s="87">
        <f>+Salary!Q427</f>
        <v>0</v>
      </c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4.25" customHeight="1" x14ac:dyDescent="0.35">
      <c r="A432" s="1"/>
      <c r="B432" s="24">
        <v>7</v>
      </c>
      <c r="C432" s="1" t="s">
        <v>1433</v>
      </c>
      <c r="D432" s="125" t="s">
        <v>378</v>
      </c>
      <c r="E432" s="164" t="s">
        <v>1434</v>
      </c>
      <c r="F432" s="105">
        <f>+Salary!Q434</f>
        <v>0</v>
      </c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4.25" customHeight="1" x14ac:dyDescent="0.35">
      <c r="A433" s="1"/>
      <c r="B433" s="24">
        <v>8</v>
      </c>
      <c r="C433" s="1" t="s">
        <v>1435</v>
      </c>
      <c r="D433" s="125" t="s">
        <v>378</v>
      </c>
      <c r="E433" s="164" t="s">
        <v>1436</v>
      </c>
      <c r="F433" s="105">
        <f>+Salary!Q432</f>
        <v>0</v>
      </c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4.25" customHeight="1" x14ac:dyDescent="0.35">
      <c r="A434" s="1"/>
      <c r="B434" s="24">
        <v>9</v>
      </c>
      <c r="C434" s="1" t="s">
        <v>1437</v>
      </c>
      <c r="D434" s="125" t="s">
        <v>378</v>
      </c>
      <c r="E434" s="164" t="s">
        <v>1438</v>
      </c>
      <c r="F434" s="105">
        <f>+Salary!Q429</f>
        <v>0</v>
      </c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4.25" customHeight="1" x14ac:dyDescent="0.35">
      <c r="A435" s="1"/>
      <c r="B435" s="24">
        <v>10</v>
      </c>
      <c r="C435" s="1" t="s">
        <v>1439</v>
      </c>
      <c r="D435" s="164" t="s">
        <v>454</v>
      </c>
      <c r="E435" s="144" t="s">
        <v>1440</v>
      </c>
      <c r="F435" s="87">
        <f>+Salary!Q433</f>
        <v>0</v>
      </c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4.25" customHeight="1" x14ac:dyDescent="0.35">
      <c r="A436" s="1"/>
      <c r="B436" s="24">
        <v>11</v>
      </c>
      <c r="C436" s="1" t="s">
        <v>1441</v>
      </c>
      <c r="D436" s="164" t="s">
        <v>512</v>
      </c>
      <c r="E436" s="144" t="s">
        <v>1442</v>
      </c>
      <c r="F436" s="87">
        <f>+Salary!Q431</f>
        <v>0</v>
      </c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4.25" customHeight="1" x14ac:dyDescent="0.35">
      <c r="A437" s="1"/>
      <c r="B437" s="24">
        <v>12</v>
      </c>
      <c r="C437" s="40" t="s">
        <v>1155</v>
      </c>
      <c r="D437" s="113" t="s">
        <v>378</v>
      </c>
      <c r="E437" s="113" t="s">
        <v>1156</v>
      </c>
      <c r="F437" s="87">
        <f>+Salary!Q418</f>
        <v>0</v>
      </c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4.25" customHeight="1" x14ac:dyDescent="0.35">
      <c r="A438" s="1"/>
      <c r="B438" s="24">
        <v>192</v>
      </c>
      <c r="C438" s="1" t="s">
        <v>1443</v>
      </c>
      <c r="D438" s="33" t="s">
        <v>10</v>
      </c>
      <c r="E438" s="46" t="s">
        <v>1444</v>
      </c>
      <c r="F438" s="6">
        <f>+Salary!Q428</f>
        <v>0</v>
      </c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4.25" customHeight="1" x14ac:dyDescent="0.35">
      <c r="A439" s="1"/>
      <c r="B439" s="24">
        <v>13</v>
      </c>
      <c r="C439" s="1" t="s">
        <v>1445</v>
      </c>
      <c r="D439" s="164" t="s">
        <v>512</v>
      </c>
      <c r="E439" s="164" t="s">
        <v>1446</v>
      </c>
      <c r="F439" s="6">
        <f>+Salary!Q422</f>
        <v>0</v>
      </c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4.25" customHeight="1" x14ac:dyDescent="0.35">
      <c r="A440" s="1"/>
      <c r="B440" s="338"/>
      <c r="C440" s="338"/>
      <c r="D440" s="338"/>
      <c r="E440" s="338"/>
      <c r="F440" s="339">
        <f>SUM(F425:F439)</f>
        <v>0</v>
      </c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4.25" customHeight="1" x14ac:dyDescent="0.35">
      <c r="A441" s="1"/>
      <c r="B441" s="29"/>
      <c r="C441" s="29"/>
      <c r="D441" s="29"/>
      <c r="E441" s="29"/>
      <c r="F441" s="274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4.25" customHeight="1" x14ac:dyDescent="0.35">
      <c r="A442" s="1"/>
      <c r="B442" s="375"/>
      <c r="C442" s="375" t="s">
        <v>752</v>
      </c>
      <c r="D442" s="375"/>
      <c r="E442" s="375"/>
      <c r="F442" s="376">
        <f>F440+F424+F420</f>
        <v>0</v>
      </c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4.25" customHeight="1" x14ac:dyDescent="0.35">
      <c r="A443" s="10"/>
      <c r="B443" s="10"/>
      <c r="C443" s="10"/>
      <c r="D443" s="10"/>
      <c r="E443" s="10"/>
      <c r="F443" s="25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4.25" customHeight="1" x14ac:dyDescent="0.35">
      <c r="A444" s="1"/>
      <c r="B444" s="3" t="s">
        <v>1164</v>
      </c>
      <c r="C444" s="1"/>
      <c r="D444" s="1"/>
      <c r="E444" s="1"/>
      <c r="F444" s="6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4.25" customHeight="1" x14ac:dyDescent="0.35">
      <c r="A445" s="1"/>
      <c r="B445" s="29"/>
      <c r="C445" s="1"/>
      <c r="D445" s="1"/>
      <c r="E445" s="1"/>
      <c r="F445" s="105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4.25" customHeight="1" x14ac:dyDescent="0.35">
      <c r="A446" s="1"/>
      <c r="B446" s="15" t="s">
        <v>758</v>
      </c>
      <c r="C446" s="17" t="s">
        <v>3</v>
      </c>
      <c r="D446" s="15" t="s">
        <v>4</v>
      </c>
      <c r="E446" s="15" t="s">
        <v>762</v>
      </c>
      <c r="F446" s="281" t="s">
        <v>6</v>
      </c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4.25" customHeight="1" x14ac:dyDescent="0.35">
      <c r="A447" s="1"/>
      <c r="B447" s="24">
        <v>1</v>
      </c>
      <c r="C447" s="177" t="s">
        <v>1167</v>
      </c>
      <c r="D447" s="33" t="s">
        <v>454</v>
      </c>
      <c r="E447" s="46" t="s">
        <v>1168</v>
      </c>
      <c r="F447" s="282">
        <f>+Salary!Q440</f>
        <v>0</v>
      </c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4.25" customHeight="1" x14ac:dyDescent="0.35">
      <c r="A448" s="1"/>
      <c r="B448" s="24">
        <v>2</v>
      </c>
      <c r="C448" s="33" t="s">
        <v>1171</v>
      </c>
      <c r="D448" s="1" t="s">
        <v>563</v>
      </c>
      <c r="E448" s="1" t="s">
        <v>1172</v>
      </c>
      <c r="F448" s="87">
        <f>+Salary!Q443</f>
        <v>0</v>
      </c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4.25" customHeight="1" x14ac:dyDescent="0.35">
      <c r="A449" s="1"/>
      <c r="B449" s="24">
        <v>3</v>
      </c>
      <c r="C449" s="177" t="s">
        <v>1173</v>
      </c>
      <c r="D449" s="33" t="s">
        <v>512</v>
      </c>
      <c r="E449" s="46" t="s">
        <v>1174</v>
      </c>
      <c r="F449" s="282">
        <f>+Salary!Q442</f>
        <v>0</v>
      </c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4.25" customHeight="1" x14ac:dyDescent="0.35">
      <c r="A450" s="1"/>
      <c r="B450" s="24">
        <v>4</v>
      </c>
      <c r="C450" s="177" t="s">
        <v>1176</v>
      </c>
      <c r="D450" s="33" t="s">
        <v>1120</v>
      </c>
      <c r="E450" s="46" t="s">
        <v>1177</v>
      </c>
      <c r="F450" s="282">
        <f>+Salary!Q441</f>
        <v>0</v>
      </c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4.25" customHeight="1" x14ac:dyDescent="0.35">
      <c r="A451" s="1"/>
      <c r="B451" s="24">
        <v>5</v>
      </c>
      <c r="C451" s="177" t="s">
        <v>1178</v>
      </c>
      <c r="D451" s="125" t="s">
        <v>10</v>
      </c>
      <c r="E451" s="144" t="s">
        <v>1179</v>
      </c>
      <c r="F451" s="282">
        <f>+Salary!Q439</f>
        <v>0</v>
      </c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4.25" customHeight="1" x14ac:dyDescent="0.35">
      <c r="A452" s="1"/>
      <c r="B452" s="375"/>
      <c r="C452" s="375" t="s">
        <v>752</v>
      </c>
      <c r="D452" s="375"/>
      <c r="E452" s="375"/>
      <c r="F452" s="376">
        <f>SUM(F447:F451)</f>
        <v>0</v>
      </c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4.25" customHeight="1" x14ac:dyDescent="0.35">
      <c r="A453" s="1"/>
      <c r="B453" s="1"/>
      <c r="C453" s="1"/>
      <c r="D453" s="1"/>
      <c r="E453" s="1"/>
      <c r="F453" s="6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4.25" customHeight="1" x14ac:dyDescent="0.35">
      <c r="A454" s="10"/>
      <c r="B454" s="10"/>
      <c r="C454" s="10"/>
      <c r="D454" s="10"/>
      <c r="E454" s="10"/>
      <c r="F454" s="25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4.25" customHeight="1" x14ac:dyDescent="0.35">
      <c r="A455" s="1"/>
      <c r="B455" s="3" t="s">
        <v>1185</v>
      </c>
      <c r="C455" s="1"/>
      <c r="D455" s="1"/>
      <c r="E455" s="1"/>
      <c r="F455" s="6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4.25" customHeight="1" x14ac:dyDescent="0.35">
      <c r="A456" s="1"/>
      <c r="B456" s="15" t="s">
        <v>758</v>
      </c>
      <c r="C456" s="17" t="s">
        <v>3</v>
      </c>
      <c r="D456" s="15" t="s">
        <v>4</v>
      </c>
      <c r="E456" s="15" t="s">
        <v>762</v>
      </c>
      <c r="F456" s="281" t="s">
        <v>6</v>
      </c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4.25" customHeight="1" x14ac:dyDescent="0.35">
      <c r="A457" s="1"/>
      <c r="B457" s="24">
        <v>1</v>
      </c>
      <c r="C457" s="1" t="s">
        <v>1187</v>
      </c>
      <c r="D457" s="164" t="s">
        <v>10</v>
      </c>
      <c r="E457" s="144" t="s">
        <v>1188</v>
      </c>
      <c r="F457" s="87">
        <f>+Salary!Q448</f>
        <v>0</v>
      </c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4.25" customHeight="1" x14ac:dyDescent="0.35">
      <c r="A458" s="1"/>
      <c r="B458" s="24">
        <v>2</v>
      </c>
      <c r="C458" s="1" t="s">
        <v>1193</v>
      </c>
      <c r="D458" s="164" t="s">
        <v>563</v>
      </c>
      <c r="E458" s="46">
        <v>7170009976</v>
      </c>
      <c r="F458" s="87">
        <f>+Salary!Q447</f>
        <v>0</v>
      </c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4.25" customHeight="1" x14ac:dyDescent="0.35">
      <c r="A459" s="1"/>
      <c r="B459" s="24">
        <v>3</v>
      </c>
      <c r="C459" s="1" t="s">
        <v>1456</v>
      </c>
      <c r="D459" s="125" t="s">
        <v>454</v>
      </c>
      <c r="E459" s="144" t="s">
        <v>1457</v>
      </c>
      <c r="F459" s="87">
        <f>+Salary!Q453</f>
        <v>0</v>
      </c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4.25" customHeight="1" x14ac:dyDescent="0.35">
      <c r="A460" s="1"/>
      <c r="B460" s="24">
        <v>4</v>
      </c>
      <c r="C460" s="1" t="s">
        <v>1189</v>
      </c>
      <c r="D460" s="164" t="s">
        <v>512</v>
      </c>
      <c r="E460" s="144" t="s">
        <v>1190</v>
      </c>
      <c r="F460" s="87">
        <f>+Salary!Q450</f>
        <v>0</v>
      </c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4.25" customHeight="1" x14ac:dyDescent="0.35">
      <c r="A461" s="1"/>
      <c r="B461" s="24">
        <v>5</v>
      </c>
      <c r="C461" s="1" t="s">
        <v>1459</v>
      </c>
      <c r="D461" s="164" t="s">
        <v>378</v>
      </c>
      <c r="E461" s="144" t="s">
        <v>1460</v>
      </c>
      <c r="F461" s="87">
        <f>+Salary!Q449</f>
        <v>0</v>
      </c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4.25" customHeight="1" x14ac:dyDescent="0.35">
      <c r="A462" s="1"/>
      <c r="B462" s="375"/>
      <c r="C462" s="375" t="s">
        <v>620</v>
      </c>
      <c r="D462" s="375"/>
      <c r="E462" s="375"/>
      <c r="F462" s="376">
        <f>SUM(F457:F461)</f>
        <v>0</v>
      </c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4.25" customHeight="1" x14ac:dyDescent="0.35">
      <c r="A463" s="10"/>
      <c r="B463" s="10"/>
      <c r="C463" s="10"/>
      <c r="D463" s="10"/>
      <c r="E463" s="10"/>
      <c r="F463" s="25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4.25" customHeight="1" x14ac:dyDescent="0.35">
      <c r="A464" s="1"/>
      <c r="B464" s="3" t="s">
        <v>1196</v>
      </c>
      <c r="C464" s="1"/>
      <c r="D464" s="1"/>
      <c r="E464" s="1"/>
      <c r="F464" s="6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4.25" customHeight="1" x14ac:dyDescent="0.35">
      <c r="A465" s="1"/>
      <c r="B465" s="29"/>
      <c r="C465" s="1"/>
      <c r="D465" s="1"/>
      <c r="E465" s="1"/>
      <c r="F465" s="105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4.25" customHeight="1" x14ac:dyDescent="0.35">
      <c r="A466" s="1"/>
      <c r="B466" s="15" t="s">
        <v>758</v>
      </c>
      <c r="C466" s="17" t="s">
        <v>3</v>
      </c>
      <c r="D466" s="15" t="s">
        <v>4</v>
      </c>
      <c r="E466" s="15" t="s">
        <v>762</v>
      </c>
      <c r="F466" s="281" t="s">
        <v>6</v>
      </c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4.25" customHeight="1" x14ac:dyDescent="0.35">
      <c r="A467" s="1"/>
      <c r="B467" s="24"/>
      <c r="C467" s="177"/>
      <c r="D467" s="33"/>
      <c r="E467" s="219"/>
      <c r="F467" s="109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4.25" customHeight="1" x14ac:dyDescent="0.35">
      <c r="A468" s="1"/>
      <c r="B468" s="24">
        <v>1</v>
      </c>
      <c r="C468" s="177" t="s">
        <v>1198</v>
      </c>
      <c r="D468" s="125" t="s">
        <v>742</v>
      </c>
      <c r="E468" s="219">
        <v>1256360008</v>
      </c>
      <c r="F468" s="282">
        <f>+Salary!Q466</f>
        <v>0</v>
      </c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4.25" customHeight="1" x14ac:dyDescent="0.35">
      <c r="A469" s="1"/>
      <c r="B469" s="24">
        <v>2</v>
      </c>
      <c r="C469" s="1" t="s">
        <v>1199</v>
      </c>
      <c r="D469" s="164" t="s">
        <v>563</v>
      </c>
      <c r="E469" s="46">
        <v>7217504530</v>
      </c>
      <c r="F469" s="282">
        <f>+Salary!Q459</f>
        <v>0</v>
      </c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4.25" customHeight="1" x14ac:dyDescent="0.35">
      <c r="A470" s="1"/>
      <c r="B470" s="24">
        <v>3</v>
      </c>
      <c r="C470" s="33" t="s">
        <v>1204</v>
      </c>
      <c r="D470" s="164" t="s">
        <v>378</v>
      </c>
      <c r="E470" s="46">
        <v>9030007544056</v>
      </c>
      <c r="F470" s="282">
        <f>Salary!Q467</f>
        <v>0</v>
      </c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4.25" customHeight="1" x14ac:dyDescent="0.35">
      <c r="A471" s="1"/>
      <c r="B471" s="24">
        <v>4</v>
      </c>
      <c r="C471" s="1" t="s">
        <v>1467</v>
      </c>
      <c r="D471" s="125" t="s">
        <v>378</v>
      </c>
      <c r="E471" s="164" t="s">
        <v>1468</v>
      </c>
      <c r="F471" s="105">
        <f>+Salary!Q465</f>
        <v>0</v>
      </c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4.25" customHeight="1" x14ac:dyDescent="0.35">
      <c r="A472" s="1"/>
      <c r="B472" s="24">
        <v>5</v>
      </c>
      <c r="C472" s="1" t="s">
        <v>1469</v>
      </c>
      <c r="D472" s="125" t="s">
        <v>10</v>
      </c>
      <c r="E472" s="164" t="s">
        <v>1470</v>
      </c>
      <c r="F472" s="105">
        <f>+Salary!Q462</f>
        <v>0</v>
      </c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4.25" customHeight="1" x14ac:dyDescent="0.35">
      <c r="A473" s="1"/>
      <c r="B473" s="24">
        <v>6</v>
      </c>
      <c r="C473" s="177" t="s">
        <v>1205</v>
      </c>
      <c r="D473" s="107" t="s">
        <v>454</v>
      </c>
      <c r="E473" s="219" t="s">
        <v>1206</v>
      </c>
      <c r="F473" s="282">
        <f>+Salary!Q460</f>
        <v>0</v>
      </c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4.25" customHeight="1" x14ac:dyDescent="0.35">
      <c r="A474" s="1"/>
      <c r="B474" s="24">
        <v>7</v>
      </c>
      <c r="C474" s="177" t="s">
        <v>1210</v>
      </c>
      <c r="D474" s="107" t="s">
        <v>454</v>
      </c>
      <c r="E474" s="219" t="s">
        <v>1211</v>
      </c>
      <c r="F474" s="282">
        <f>+Salary!Q468</f>
        <v>0</v>
      </c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4.25" customHeight="1" x14ac:dyDescent="0.35">
      <c r="A475" s="1"/>
      <c r="B475" s="24">
        <v>8</v>
      </c>
      <c r="C475" s="177" t="s">
        <v>1212</v>
      </c>
      <c r="D475" s="107" t="s">
        <v>454</v>
      </c>
      <c r="E475" s="219" t="s">
        <v>1214</v>
      </c>
      <c r="F475" s="282">
        <f>+Salary!Q458</f>
        <v>0</v>
      </c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4.25" customHeight="1" x14ac:dyDescent="0.35">
      <c r="A476" s="1"/>
      <c r="B476" s="24">
        <v>9</v>
      </c>
      <c r="C476" s="177" t="s">
        <v>1217</v>
      </c>
      <c r="D476" s="107">
        <v>300147</v>
      </c>
      <c r="E476" s="219">
        <v>1034102486615</v>
      </c>
      <c r="F476" s="282">
        <f>+Salary!Q469</f>
        <v>0</v>
      </c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4.25" customHeight="1" x14ac:dyDescent="0.35">
      <c r="A477" s="1"/>
      <c r="B477" s="24">
        <v>10</v>
      </c>
      <c r="C477" s="33" t="s">
        <v>1208</v>
      </c>
      <c r="D477" s="125" t="s">
        <v>378</v>
      </c>
      <c r="E477" s="144" t="s">
        <v>1209</v>
      </c>
      <c r="F477" s="282">
        <f>+Salary!Q461</f>
        <v>0</v>
      </c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4.25" customHeight="1" x14ac:dyDescent="0.35">
      <c r="A478" s="1"/>
      <c r="B478" s="24">
        <v>11</v>
      </c>
      <c r="C478" s="33" t="s">
        <v>1472</v>
      </c>
      <c r="D478" s="125" t="s">
        <v>454</v>
      </c>
      <c r="E478" s="164" t="s">
        <v>1473</v>
      </c>
      <c r="F478" s="282">
        <f>+Salary!Q464</f>
        <v>0</v>
      </c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4.25" customHeight="1" x14ac:dyDescent="0.35">
      <c r="A479" s="1"/>
      <c r="B479" s="24">
        <v>12</v>
      </c>
      <c r="C479" s="33" t="s">
        <v>1475</v>
      </c>
      <c r="D479" s="125" t="s">
        <v>454</v>
      </c>
      <c r="E479" s="164" t="s">
        <v>1476</v>
      </c>
      <c r="F479" s="282">
        <f>+Salary!Q472</f>
        <v>0</v>
      </c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4.25" customHeight="1" x14ac:dyDescent="0.35">
      <c r="A480" s="1"/>
      <c r="B480" s="24">
        <v>13</v>
      </c>
      <c r="C480" s="177" t="s">
        <v>1477</v>
      </c>
      <c r="D480" s="294" t="s">
        <v>563</v>
      </c>
      <c r="E480" s="219">
        <v>7210002955</v>
      </c>
      <c r="F480" s="282">
        <f>+Salary!Q463</f>
        <v>0</v>
      </c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4.25" customHeight="1" x14ac:dyDescent="0.35">
      <c r="A481" s="1"/>
      <c r="B481" s="24">
        <v>14</v>
      </c>
      <c r="C481" s="1" t="s">
        <v>1479</v>
      </c>
      <c r="D481" s="164" t="s">
        <v>313</v>
      </c>
      <c r="E481" s="46">
        <v>6006108650</v>
      </c>
      <c r="F481" s="282">
        <f>+Salary!Q473</f>
        <v>0</v>
      </c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4.25" customHeight="1" x14ac:dyDescent="0.35">
      <c r="A482" s="1"/>
      <c r="B482" s="375"/>
      <c r="C482" s="375" t="s">
        <v>620</v>
      </c>
      <c r="D482" s="375"/>
      <c r="E482" s="375"/>
      <c r="F482" s="376">
        <f>SUM(F468:F481)</f>
        <v>0</v>
      </c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4.25" customHeight="1" x14ac:dyDescent="0.35">
      <c r="A483" s="10"/>
      <c r="B483" s="10"/>
      <c r="C483" s="10"/>
      <c r="D483" s="10"/>
      <c r="E483" s="10"/>
      <c r="F483" s="25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4.25" customHeight="1" x14ac:dyDescent="0.35">
      <c r="A484" s="1"/>
      <c r="B484" s="3" t="s">
        <v>1286</v>
      </c>
      <c r="C484" s="1"/>
      <c r="D484" s="1"/>
      <c r="E484" s="1"/>
      <c r="F484" s="6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4.25" customHeight="1" x14ac:dyDescent="0.35">
      <c r="A485" s="1"/>
      <c r="B485" s="15" t="s">
        <v>758</v>
      </c>
      <c r="C485" s="17" t="s">
        <v>3</v>
      </c>
      <c r="D485" s="15" t="s">
        <v>4</v>
      </c>
      <c r="E485" s="15" t="s">
        <v>762</v>
      </c>
      <c r="F485" s="281" t="s">
        <v>6</v>
      </c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4.25" customHeight="1" x14ac:dyDescent="0.35">
      <c r="A486" s="1"/>
      <c r="B486" s="15"/>
      <c r="C486" s="1"/>
      <c r="D486" s="1"/>
      <c r="E486" s="46"/>
      <c r="F486" s="87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4.25" customHeight="1" x14ac:dyDescent="0.35">
      <c r="A487" s="1"/>
      <c r="B487" s="24">
        <v>1</v>
      </c>
      <c r="C487" s="1" t="s">
        <v>1484</v>
      </c>
      <c r="D487" s="1" t="s">
        <v>10</v>
      </c>
      <c r="E487" s="46" t="s">
        <v>1233</v>
      </c>
      <c r="F487" s="105">
        <f>+Salary!Q482</f>
        <v>0</v>
      </c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4.25" customHeight="1" x14ac:dyDescent="0.35">
      <c r="A488" s="1"/>
      <c r="B488" s="24"/>
      <c r="C488" s="1" t="s">
        <v>1235</v>
      </c>
      <c r="D488" s="1" t="s">
        <v>378</v>
      </c>
      <c r="E488" s="46" t="s">
        <v>1236</v>
      </c>
      <c r="F488" s="105">
        <f>+Salary!Q479</f>
        <v>0</v>
      </c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4.25" customHeight="1" x14ac:dyDescent="0.35">
      <c r="A489" s="1"/>
      <c r="B489" s="24">
        <v>2</v>
      </c>
      <c r="C489" s="1" t="s">
        <v>1239</v>
      </c>
      <c r="D489" s="1" t="s">
        <v>10</v>
      </c>
      <c r="E489" s="46" t="s">
        <v>1240</v>
      </c>
      <c r="F489" s="105">
        <f>+Salary!Q478</f>
        <v>0</v>
      </c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4.25" customHeight="1" x14ac:dyDescent="0.35">
      <c r="A490" s="1"/>
      <c r="B490" s="24">
        <v>3</v>
      </c>
      <c r="C490" s="1" t="s">
        <v>1244</v>
      </c>
      <c r="D490" s="164" t="s">
        <v>454</v>
      </c>
      <c r="E490" s="144" t="s">
        <v>1246</v>
      </c>
      <c r="F490" s="105">
        <f>+Salary!Q483</f>
        <v>0</v>
      </c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4.25" customHeight="1" x14ac:dyDescent="0.35">
      <c r="A491" s="1"/>
      <c r="B491" s="24">
        <v>4</v>
      </c>
      <c r="C491" s="1" t="s">
        <v>1247</v>
      </c>
      <c r="D491" s="164" t="s">
        <v>563</v>
      </c>
      <c r="E491" s="144" t="s">
        <v>1489</v>
      </c>
      <c r="F491" s="105">
        <f>+Salary!Q480</f>
        <v>0</v>
      </c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4.25" customHeight="1" x14ac:dyDescent="0.35">
      <c r="A492" s="1"/>
      <c r="B492" s="24">
        <v>5</v>
      </c>
      <c r="C492" s="1" t="s">
        <v>1261</v>
      </c>
      <c r="D492" s="40" t="s">
        <v>136</v>
      </c>
      <c r="E492" s="114" t="s">
        <v>1262</v>
      </c>
      <c r="F492" s="105">
        <f>+Salary!Q477</f>
        <v>0</v>
      </c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4.25" customHeight="1" x14ac:dyDescent="0.35">
      <c r="A493" s="1"/>
      <c r="B493" s="24">
        <v>6</v>
      </c>
      <c r="C493" s="1" t="s">
        <v>1255</v>
      </c>
      <c r="D493" s="1" t="s">
        <v>596</v>
      </c>
      <c r="E493" s="46" t="s">
        <v>1256</v>
      </c>
      <c r="F493" s="105">
        <f>+Salary!Q481</f>
        <v>0</v>
      </c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4.25" customHeight="1" x14ac:dyDescent="0.35">
      <c r="A494" s="1"/>
      <c r="B494" s="24">
        <v>7</v>
      </c>
      <c r="C494" s="1" t="s">
        <v>1491</v>
      </c>
      <c r="D494" s="1" t="s">
        <v>378</v>
      </c>
      <c r="E494" s="46" t="s">
        <v>1493</v>
      </c>
      <c r="F494" s="87">
        <f>+Salary!Q486</f>
        <v>0</v>
      </c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4.25" customHeight="1" x14ac:dyDescent="0.35">
      <c r="A495" s="1"/>
      <c r="B495" s="375"/>
      <c r="C495" s="375" t="s">
        <v>620</v>
      </c>
      <c r="D495" s="375"/>
      <c r="E495" s="375"/>
      <c r="F495" s="376">
        <f>SUM(F487:F494)</f>
        <v>0</v>
      </c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4.25" customHeight="1" x14ac:dyDescent="0.35">
      <c r="A496" s="10"/>
      <c r="B496" s="10"/>
      <c r="C496" s="10"/>
      <c r="D496" s="10"/>
      <c r="E496" s="10"/>
      <c r="F496" s="25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4.25" customHeight="1" x14ac:dyDescent="0.35">
      <c r="A497" s="10"/>
      <c r="B497" s="207" t="s">
        <v>1269</v>
      </c>
      <c r="C497" s="10"/>
      <c r="D497" s="10"/>
      <c r="E497" s="10"/>
      <c r="F497" s="25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4.25" customHeight="1" x14ac:dyDescent="0.35">
      <c r="A498" s="1"/>
      <c r="B498" s="15" t="s">
        <v>758</v>
      </c>
      <c r="C498" s="17" t="s">
        <v>3</v>
      </c>
      <c r="D498" s="15" t="s">
        <v>4</v>
      </c>
      <c r="E498" s="15" t="s">
        <v>762</v>
      </c>
      <c r="F498" s="281" t="s">
        <v>6</v>
      </c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4.25" customHeight="1" x14ac:dyDescent="0.35">
      <c r="A499" s="1"/>
      <c r="B499" s="24">
        <v>99</v>
      </c>
      <c r="C499" s="33" t="s">
        <v>1273</v>
      </c>
      <c r="D499" s="33" t="s">
        <v>313</v>
      </c>
      <c r="E499" s="33" t="s">
        <v>1275</v>
      </c>
      <c r="F499" s="6">
        <f>+Salary!Q491</f>
        <v>0</v>
      </c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4.25" customHeight="1" x14ac:dyDescent="0.35">
      <c r="A500" s="1"/>
      <c r="B500" s="24">
        <v>3</v>
      </c>
      <c r="C500" s="1" t="s">
        <v>1277</v>
      </c>
      <c r="D500" s="125" t="s">
        <v>378</v>
      </c>
      <c r="E500" s="164" t="s">
        <v>1278</v>
      </c>
      <c r="F500" s="105">
        <f>+Salary!Q490</f>
        <v>0</v>
      </c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4.25" customHeight="1" x14ac:dyDescent="0.35">
      <c r="A501" s="29"/>
      <c r="B501" s="399"/>
      <c r="C501" s="375" t="s">
        <v>620</v>
      </c>
      <c r="D501" s="375"/>
      <c r="E501" s="400"/>
      <c r="F501" s="401">
        <f>SUM(F499:F500)</f>
        <v>0</v>
      </c>
      <c r="G501" s="247"/>
      <c r="H501" s="247"/>
      <c r="I501" s="247"/>
      <c r="J501" s="247"/>
      <c r="K501" s="247"/>
      <c r="L501" s="247"/>
      <c r="M501" s="247"/>
      <c r="N501" s="247"/>
      <c r="O501" s="247"/>
      <c r="P501" s="247"/>
      <c r="Q501" s="247"/>
      <c r="R501" s="247"/>
      <c r="S501" s="247"/>
      <c r="T501" s="247"/>
      <c r="U501" s="247"/>
      <c r="V501" s="247"/>
      <c r="W501" s="247"/>
      <c r="X501" s="247"/>
      <c r="Y501" s="247"/>
      <c r="Z501" s="247"/>
    </row>
    <row r="502" spans="1:26" ht="14.25" customHeight="1" x14ac:dyDescent="0.35">
      <c r="A502" s="10"/>
      <c r="B502" s="402"/>
      <c r="C502" s="10"/>
      <c r="D502" s="10"/>
      <c r="E502" s="403"/>
      <c r="F502" s="404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4.25" customHeight="1" x14ac:dyDescent="0.35">
      <c r="A503" s="10"/>
      <c r="B503" s="405" t="s">
        <v>1495</v>
      </c>
      <c r="C503" s="29"/>
      <c r="D503" s="29"/>
      <c r="E503" s="406"/>
      <c r="F503" s="407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4.25" customHeight="1" x14ac:dyDescent="0.35">
      <c r="A504" s="10"/>
      <c r="B504" s="15" t="s">
        <v>758</v>
      </c>
      <c r="C504" s="29" t="s">
        <v>3</v>
      </c>
      <c r="D504" s="29" t="s">
        <v>4</v>
      </c>
      <c r="E504" s="406" t="s">
        <v>762</v>
      </c>
      <c r="F504" s="407" t="s">
        <v>6</v>
      </c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4.25" customHeight="1" x14ac:dyDescent="0.35">
      <c r="A505" s="10"/>
      <c r="B505" s="24">
        <v>1</v>
      </c>
      <c r="C505" s="1" t="s">
        <v>920</v>
      </c>
      <c r="D505" s="1" t="s">
        <v>10</v>
      </c>
      <c r="E505" s="46" t="s">
        <v>921</v>
      </c>
      <c r="F505" s="87">
        <f>+Salary!Q498</f>
        <v>0</v>
      </c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4.25" customHeight="1" x14ac:dyDescent="0.35">
      <c r="A506" s="10"/>
      <c r="B506" s="24">
        <v>2</v>
      </c>
      <c r="C506" s="1" t="s">
        <v>891</v>
      </c>
      <c r="D506" s="1" t="s">
        <v>563</v>
      </c>
      <c r="E506" s="46" t="s">
        <v>892</v>
      </c>
      <c r="F506" s="87">
        <f>+Salary!Q499</f>
        <v>0</v>
      </c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4.25" customHeight="1" x14ac:dyDescent="0.35">
      <c r="A507" s="10"/>
      <c r="B507" s="24">
        <v>3</v>
      </c>
      <c r="C507" s="1" t="s">
        <v>904</v>
      </c>
      <c r="D507" s="1" t="s">
        <v>454</v>
      </c>
      <c r="E507" s="46" t="s">
        <v>905</v>
      </c>
      <c r="F507" s="87">
        <f>+Salary!Q500</f>
        <v>0</v>
      </c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4.25" customHeight="1" x14ac:dyDescent="0.35">
      <c r="A508" s="10"/>
      <c r="B508" s="24">
        <v>4</v>
      </c>
      <c r="C508" s="1" t="s">
        <v>916</v>
      </c>
      <c r="D508" s="1" t="s">
        <v>10</v>
      </c>
      <c r="E508" s="46" t="s">
        <v>917</v>
      </c>
      <c r="F508" s="87">
        <f>+Salary!Q501</f>
        <v>0</v>
      </c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4.25" customHeight="1" x14ac:dyDescent="0.35">
      <c r="A509" s="10"/>
      <c r="B509" s="24">
        <v>5</v>
      </c>
      <c r="C509" s="1" t="s">
        <v>879</v>
      </c>
      <c r="D509" s="1" t="s">
        <v>313</v>
      </c>
      <c r="E509" s="46" t="s">
        <v>882</v>
      </c>
      <c r="F509" s="87">
        <f>+Salary!Q502</f>
        <v>0</v>
      </c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4.25" customHeight="1" x14ac:dyDescent="0.35">
      <c r="A510" s="10"/>
      <c r="B510" s="24">
        <v>6</v>
      </c>
      <c r="C510" s="1" t="s">
        <v>912</v>
      </c>
      <c r="D510" s="1" t="s">
        <v>10</v>
      </c>
      <c r="E510" s="46" t="s">
        <v>915</v>
      </c>
      <c r="F510" s="87">
        <f>+Salary!Q503</f>
        <v>0</v>
      </c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4.25" customHeight="1" x14ac:dyDescent="0.35">
      <c r="A511" s="10"/>
      <c r="B511" s="24">
        <v>7</v>
      </c>
      <c r="C511" s="1" t="s">
        <v>1500</v>
      </c>
      <c r="D511" s="164" t="s">
        <v>512</v>
      </c>
      <c r="E511" s="144" t="s">
        <v>1501</v>
      </c>
      <c r="F511" s="87">
        <f>+Salary!Q504</f>
        <v>0</v>
      </c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4.25" customHeight="1" x14ac:dyDescent="0.35">
      <c r="A512" s="247"/>
      <c r="B512" s="408"/>
      <c r="C512" s="409" t="s">
        <v>620</v>
      </c>
      <c r="D512" s="409"/>
      <c r="E512" s="410"/>
      <c r="F512" s="411">
        <f>SUM(F505:F511)</f>
        <v>0</v>
      </c>
      <c r="G512" s="247"/>
      <c r="H512" s="247"/>
      <c r="I512" s="247"/>
      <c r="J512" s="247"/>
      <c r="K512" s="247"/>
      <c r="L512" s="247"/>
      <c r="M512" s="247"/>
      <c r="N512" s="247"/>
      <c r="O512" s="247"/>
      <c r="P512" s="247"/>
      <c r="Q512" s="247"/>
      <c r="R512" s="247"/>
      <c r="S512" s="247"/>
      <c r="T512" s="247"/>
      <c r="U512" s="247"/>
      <c r="V512" s="247"/>
      <c r="W512" s="247"/>
      <c r="X512" s="247"/>
      <c r="Y512" s="247"/>
      <c r="Z512" s="247"/>
    </row>
    <row r="513" spans="1:26" ht="14.25" customHeight="1" x14ac:dyDescent="0.35">
      <c r="A513" s="10"/>
      <c r="B513" s="402"/>
      <c r="C513" s="10"/>
      <c r="D513" s="10"/>
      <c r="E513" s="403"/>
      <c r="F513" s="404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4.25" customHeight="1" x14ac:dyDescent="0.35">
      <c r="A514" s="10"/>
      <c r="B514" s="402"/>
      <c r="C514" s="10"/>
      <c r="D514" s="10"/>
      <c r="E514" s="412" t="s">
        <v>752</v>
      </c>
      <c r="F514" s="413">
        <f>SUM(F501+F495+F268+F319+F482+F462+F452+F442+F414+F376+F512)</f>
        <v>0</v>
      </c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4.25" customHeight="1" x14ac:dyDescent="0.35">
      <c r="A515" s="10"/>
      <c r="B515" s="402"/>
      <c r="C515" s="10"/>
      <c r="D515" s="10"/>
      <c r="E515" s="403"/>
      <c r="F515" s="404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4.25" customHeight="1" x14ac:dyDescent="0.35">
      <c r="A516" s="10"/>
      <c r="B516" s="402"/>
      <c r="C516" s="10"/>
      <c r="D516" s="10"/>
      <c r="E516" s="403"/>
      <c r="F516" s="404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4.25" customHeight="1" x14ac:dyDescent="0.35">
      <c r="A517" s="10"/>
      <c r="B517" s="402"/>
      <c r="C517" s="10"/>
      <c r="D517" s="10"/>
      <c r="E517" s="403"/>
      <c r="F517" s="404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4.25" customHeight="1" x14ac:dyDescent="0.35">
      <c r="A518" s="10"/>
      <c r="B518" s="402"/>
      <c r="C518" s="10"/>
      <c r="D518" s="10"/>
      <c r="E518" s="403"/>
      <c r="F518" s="404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4.25" customHeight="1" x14ac:dyDescent="0.35">
      <c r="A519" s="10"/>
      <c r="B519" s="402"/>
      <c r="C519" s="10"/>
      <c r="D519" s="10"/>
      <c r="E519" s="403"/>
      <c r="F519" s="404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4.25" customHeight="1" x14ac:dyDescent="0.35">
      <c r="A520" s="10"/>
      <c r="B520" s="40" t="s">
        <v>0</v>
      </c>
      <c r="C520" s="414">
        <f>+Salary!Q276</f>
        <v>0</v>
      </c>
      <c r="D520" s="414">
        <f>C520-F268</f>
        <v>0</v>
      </c>
      <c r="E520" s="10"/>
      <c r="F520" s="25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4.25" customHeight="1" x14ac:dyDescent="0.35">
      <c r="A521" s="10"/>
      <c r="B521" s="40" t="s">
        <v>755</v>
      </c>
      <c r="C521" s="414">
        <f>+Salary!Q325</f>
        <v>0</v>
      </c>
      <c r="D521" s="414">
        <f>C521-F319</f>
        <v>0</v>
      </c>
      <c r="E521" s="10"/>
      <c r="F521" s="25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4.25" customHeight="1" x14ac:dyDescent="0.35">
      <c r="A522" s="10"/>
      <c r="B522" s="40" t="s">
        <v>1279</v>
      </c>
      <c r="C522" s="414">
        <f>+Salary!Q374</f>
        <v>0</v>
      </c>
      <c r="D522" s="414">
        <f>C522-F376</f>
        <v>0</v>
      </c>
      <c r="E522" s="10"/>
      <c r="F522" s="25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4.25" customHeight="1" x14ac:dyDescent="0.35">
      <c r="A523" s="10"/>
      <c r="B523" s="40" t="s">
        <v>1072</v>
      </c>
      <c r="C523" s="414">
        <f>+Salary!Q411</f>
        <v>0</v>
      </c>
      <c r="D523" s="414">
        <f>C523-F414</f>
        <v>0</v>
      </c>
      <c r="E523" s="10"/>
      <c r="F523" s="25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4.25" customHeight="1" x14ac:dyDescent="0.35">
      <c r="A524" s="10"/>
      <c r="B524" s="40" t="s">
        <v>1125</v>
      </c>
      <c r="C524" s="414">
        <f>+Salary!Q436</f>
        <v>0</v>
      </c>
      <c r="D524" s="414">
        <f>C524-F442</f>
        <v>0</v>
      </c>
      <c r="E524" s="10"/>
      <c r="F524" s="25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4.25" customHeight="1" x14ac:dyDescent="0.35">
      <c r="A525" s="10"/>
      <c r="B525" s="40" t="s">
        <v>1164</v>
      </c>
      <c r="C525" s="414">
        <f>+Salary!Q444</f>
        <v>0</v>
      </c>
      <c r="D525" s="414">
        <f>C525-F452</f>
        <v>0</v>
      </c>
      <c r="E525" s="10"/>
      <c r="F525" s="25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4.25" customHeight="1" x14ac:dyDescent="0.35">
      <c r="A526" s="10"/>
      <c r="B526" s="40" t="s">
        <v>1185</v>
      </c>
      <c r="C526" s="414">
        <f>+Salary!Q454</f>
        <v>0</v>
      </c>
      <c r="D526" s="414">
        <f>C526-F462</f>
        <v>0</v>
      </c>
      <c r="E526" s="10"/>
      <c r="F526" s="25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4.25" customHeight="1" x14ac:dyDescent="0.35">
      <c r="A527" s="10"/>
      <c r="B527" s="40" t="s">
        <v>1196</v>
      </c>
      <c r="C527" s="414">
        <f>+Salary!Q474</f>
        <v>0</v>
      </c>
      <c r="D527" s="414">
        <f>C527-F482</f>
        <v>0</v>
      </c>
      <c r="E527" s="10"/>
      <c r="F527" s="25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4.25" customHeight="1" x14ac:dyDescent="0.35">
      <c r="A528" s="10"/>
      <c r="B528" s="40" t="s">
        <v>1286</v>
      </c>
      <c r="C528" s="414">
        <f>+Salary!Q487</f>
        <v>0</v>
      </c>
      <c r="D528" s="414">
        <f>F495-C528</f>
        <v>0</v>
      </c>
      <c r="E528" s="10"/>
      <c r="F528" s="25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4.25" customHeight="1" x14ac:dyDescent="0.35">
      <c r="A529" s="10"/>
      <c r="B529" s="193" t="s">
        <v>1269</v>
      </c>
      <c r="C529" s="418">
        <f>+Salary!Q494</f>
        <v>0</v>
      </c>
      <c r="D529" s="418">
        <f>F501-C529</f>
        <v>0</v>
      </c>
      <c r="E529" s="10"/>
      <c r="F529" s="25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4.25" customHeight="1" x14ac:dyDescent="0.35">
      <c r="A530" s="10"/>
      <c r="B530" s="1" t="s">
        <v>1495</v>
      </c>
      <c r="C530" s="87">
        <f>+Salary!Q505</f>
        <v>0</v>
      </c>
      <c r="D530" s="418">
        <f>F512-C530</f>
        <v>0</v>
      </c>
      <c r="E530" s="10"/>
      <c r="F530" s="25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4.25" customHeight="1" x14ac:dyDescent="0.35">
      <c r="A531" s="10"/>
      <c r="B531" s="10"/>
      <c r="C531" s="10"/>
      <c r="D531" s="10"/>
      <c r="E531" s="10"/>
      <c r="F531" s="25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4.25" customHeight="1" x14ac:dyDescent="0.35">
      <c r="A532" s="10"/>
      <c r="B532" s="10"/>
      <c r="C532" s="10"/>
      <c r="D532" s="10"/>
      <c r="E532" s="10"/>
      <c r="F532" s="25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4.25" customHeight="1" x14ac:dyDescent="0.35">
      <c r="A533" s="10"/>
      <c r="B533" s="10"/>
      <c r="C533" s="10"/>
      <c r="D533" s="10"/>
      <c r="E533" s="10"/>
      <c r="F533" s="25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4.25" customHeight="1" x14ac:dyDescent="0.35">
      <c r="A534" s="10"/>
      <c r="B534" s="10"/>
      <c r="C534" s="10"/>
      <c r="D534" s="10"/>
      <c r="E534" s="10"/>
      <c r="F534" s="25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4.25" customHeight="1" x14ac:dyDescent="0.35">
      <c r="A535" s="10"/>
      <c r="B535" s="10"/>
      <c r="C535" s="10"/>
      <c r="D535" s="10"/>
      <c r="E535" s="10"/>
      <c r="F535" s="25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4.25" customHeight="1" x14ac:dyDescent="0.35">
      <c r="A536" s="10"/>
      <c r="B536" s="10"/>
      <c r="C536" s="10"/>
      <c r="D536" s="10"/>
      <c r="E536" s="10"/>
      <c r="F536" s="25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4.25" customHeight="1" x14ac:dyDescent="0.35">
      <c r="A537" s="10"/>
      <c r="B537" s="10"/>
      <c r="C537" s="10"/>
      <c r="D537" s="10"/>
      <c r="E537" s="10"/>
      <c r="F537" s="25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4.25" customHeight="1" x14ac:dyDescent="0.35">
      <c r="A538" s="10"/>
      <c r="B538" s="10"/>
      <c r="C538" s="10"/>
      <c r="D538" s="10"/>
      <c r="E538" s="10"/>
      <c r="F538" s="25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4.25" customHeight="1" x14ac:dyDescent="0.35">
      <c r="A539" s="10"/>
      <c r="B539" s="10"/>
      <c r="C539" s="10"/>
      <c r="D539" s="10"/>
      <c r="E539" s="10"/>
      <c r="F539" s="25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4.25" customHeight="1" x14ac:dyDescent="0.35">
      <c r="A540" s="10"/>
      <c r="B540" s="10"/>
      <c r="C540" s="10"/>
      <c r="D540" s="10"/>
      <c r="E540" s="10"/>
      <c r="F540" s="25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4.25" customHeight="1" x14ac:dyDescent="0.35">
      <c r="A541" s="10"/>
      <c r="B541" s="10"/>
      <c r="C541" s="10"/>
      <c r="D541" s="10"/>
      <c r="E541" s="10"/>
      <c r="F541" s="25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4.25" customHeight="1" x14ac:dyDescent="0.35">
      <c r="A542" s="10"/>
      <c r="B542" s="10"/>
      <c r="C542" s="10"/>
      <c r="D542" s="10"/>
      <c r="E542" s="10"/>
      <c r="F542" s="25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4.25" customHeight="1" x14ac:dyDescent="0.35">
      <c r="A543" s="10"/>
      <c r="B543" s="10"/>
      <c r="C543" s="10"/>
      <c r="D543" s="10"/>
      <c r="E543" s="10"/>
      <c r="F543" s="25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4.25" customHeight="1" x14ac:dyDescent="0.35">
      <c r="A544" s="10"/>
      <c r="B544" s="10"/>
      <c r="C544" s="10"/>
      <c r="D544" s="10"/>
      <c r="E544" s="10"/>
      <c r="F544" s="25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4.25" customHeight="1" x14ac:dyDescent="0.35">
      <c r="A545" s="10"/>
      <c r="B545" s="10"/>
      <c r="C545" s="10"/>
      <c r="D545" s="10"/>
      <c r="E545" s="10"/>
      <c r="F545" s="25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4.25" customHeight="1" x14ac:dyDescent="0.35">
      <c r="A546" s="10"/>
      <c r="B546" s="10"/>
      <c r="C546" s="10"/>
      <c r="D546" s="10"/>
      <c r="E546" s="10"/>
      <c r="F546" s="25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4.25" customHeight="1" x14ac:dyDescent="0.35">
      <c r="A547" s="10"/>
      <c r="B547" s="10"/>
      <c r="C547" s="10"/>
      <c r="D547" s="10"/>
      <c r="E547" s="10"/>
      <c r="F547" s="25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4.25" customHeight="1" x14ac:dyDescent="0.35">
      <c r="A548" s="10"/>
      <c r="B548" s="10"/>
      <c r="C548" s="10"/>
      <c r="D548" s="10"/>
      <c r="E548" s="10"/>
      <c r="F548" s="25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4.25" customHeight="1" x14ac:dyDescent="0.35">
      <c r="A549" s="10"/>
      <c r="B549" s="10"/>
      <c r="C549" s="10"/>
      <c r="D549" s="10"/>
      <c r="E549" s="10"/>
      <c r="F549" s="25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4.25" customHeight="1" x14ac:dyDescent="0.35">
      <c r="A550" s="10"/>
      <c r="B550" s="10"/>
      <c r="C550" s="10"/>
      <c r="D550" s="10"/>
      <c r="E550" s="10"/>
      <c r="F550" s="25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4.25" customHeight="1" x14ac:dyDescent="0.35">
      <c r="A551" s="10"/>
      <c r="B551" s="10"/>
      <c r="C551" s="10"/>
      <c r="D551" s="10"/>
      <c r="E551" s="10"/>
      <c r="F551" s="25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4.25" customHeight="1" x14ac:dyDescent="0.35">
      <c r="A552" s="10"/>
      <c r="B552" s="10"/>
      <c r="C552" s="10"/>
      <c r="D552" s="10"/>
      <c r="E552" s="10"/>
      <c r="F552" s="25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4.25" customHeight="1" x14ac:dyDescent="0.35">
      <c r="A553" s="10"/>
      <c r="B553" s="10"/>
      <c r="C553" s="10"/>
      <c r="D553" s="10"/>
      <c r="E553" s="10"/>
      <c r="F553" s="25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4.25" customHeight="1" x14ac:dyDescent="0.35">
      <c r="A554" s="10"/>
      <c r="B554" s="10"/>
      <c r="C554" s="10"/>
      <c r="D554" s="10"/>
      <c r="E554" s="10"/>
      <c r="F554" s="25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4.25" customHeight="1" x14ac:dyDescent="0.35">
      <c r="A555" s="10"/>
      <c r="B555" s="10"/>
      <c r="C555" s="10"/>
      <c r="D555" s="10"/>
      <c r="E555" s="10"/>
      <c r="F555" s="25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4.25" customHeight="1" x14ac:dyDescent="0.35">
      <c r="A556" s="10"/>
      <c r="B556" s="10"/>
      <c r="C556" s="10"/>
      <c r="D556" s="10"/>
      <c r="E556" s="10"/>
      <c r="F556" s="25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4.25" customHeight="1" x14ac:dyDescent="0.35">
      <c r="A557" s="10"/>
      <c r="B557" s="10"/>
      <c r="C557" s="10"/>
      <c r="D557" s="10"/>
      <c r="E557" s="10"/>
      <c r="F557" s="25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4.25" customHeight="1" x14ac:dyDescent="0.35">
      <c r="A558" s="10"/>
      <c r="B558" s="10"/>
      <c r="C558" s="10"/>
      <c r="D558" s="10"/>
      <c r="E558" s="10"/>
      <c r="F558" s="25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4.25" customHeight="1" x14ac:dyDescent="0.35">
      <c r="A559" s="10"/>
      <c r="B559" s="10"/>
      <c r="C559" s="10"/>
      <c r="D559" s="10"/>
      <c r="E559" s="10"/>
      <c r="F559" s="25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4.25" customHeight="1" x14ac:dyDescent="0.35">
      <c r="A560" s="10"/>
      <c r="B560" s="10"/>
      <c r="C560" s="10"/>
      <c r="D560" s="10"/>
      <c r="E560" s="10"/>
      <c r="F560" s="25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4.25" customHeight="1" x14ac:dyDescent="0.35">
      <c r="A561" s="10"/>
      <c r="B561" s="10"/>
      <c r="C561" s="10"/>
      <c r="D561" s="10"/>
      <c r="E561" s="10"/>
      <c r="F561" s="25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4.25" customHeight="1" x14ac:dyDescent="0.35">
      <c r="A562" s="10"/>
      <c r="B562" s="10"/>
      <c r="C562" s="10"/>
      <c r="D562" s="10"/>
      <c r="E562" s="10"/>
      <c r="F562" s="25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4.25" customHeight="1" x14ac:dyDescent="0.35">
      <c r="A563" s="10"/>
      <c r="B563" s="10"/>
      <c r="C563" s="10"/>
      <c r="D563" s="10"/>
      <c r="E563" s="10"/>
      <c r="F563" s="25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4.25" customHeight="1" x14ac:dyDescent="0.35">
      <c r="A564" s="10"/>
      <c r="B564" s="10"/>
      <c r="C564" s="10"/>
      <c r="D564" s="10"/>
      <c r="E564" s="10"/>
      <c r="F564" s="25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4.25" customHeight="1" x14ac:dyDescent="0.35">
      <c r="A565" s="10"/>
      <c r="B565" s="10"/>
      <c r="C565" s="10"/>
      <c r="D565" s="10"/>
      <c r="E565" s="10"/>
      <c r="F565" s="25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4.25" customHeight="1" x14ac:dyDescent="0.35">
      <c r="A566" s="10"/>
      <c r="B566" s="10"/>
      <c r="C566" s="10"/>
      <c r="D566" s="10"/>
      <c r="E566" s="10"/>
      <c r="F566" s="25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4.25" customHeight="1" x14ac:dyDescent="0.35">
      <c r="A567" s="10"/>
      <c r="B567" s="10"/>
      <c r="C567" s="10"/>
      <c r="D567" s="10"/>
      <c r="E567" s="10"/>
      <c r="F567" s="25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4.25" customHeight="1" x14ac:dyDescent="0.35">
      <c r="A568" s="10"/>
      <c r="B568" s="10"/>
      <c r="C568" s="10"/>
      <c r="D568" s="10"/>
      <c r="E568" s="10"/>
      <c r="F568" s="25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4.25" customHeight="1" x14ac:dyDescent="0.35">
      <c r="A569" s="10"/>
      <c r="B569" s="10"/>
      <c r="C569" s="10"/>
      <c r="D569" s="10"/>
      <c r="E569" s="10"/>
      <c r="F569" s="25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4.25" customHeight="1" x14ac:dyDescent="0.35">
      <c r="A570" s="10"/>
      <c r="B570" s="10"/>
      <c r="C570" s="10"/>
      <c r="D570" s="10"/>
      <c r="E570" s="10"/>
      <c r="F570" s="25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4.25" customHeight="1" x14ac:dyDescent="0.35">
      <c r="A571" s="10"/>
      <c r="B571" s="10"/>
      <c r="C571" s="10"/>
      <c r="D571" s="10"/>
      <c r="E571" s="10"/>
      <c r="F571" s="25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4.25" customHeight="1" x14ac:dyDescent="0.35">
      <c r="A572" s="10"/>
      <c r="B572" s="10"/>
      <c r="C572" s="10"/>
      <c r="D572" s="10"/>
      <c r="E572" s="10"/>
      <c r="F572" s="25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4.25" customHeight="1" x14ac:dyDescent="0.35">
      <c r="A573" s="10"/>
      <c r="B573" s="10"/>
      <c r="C573" s="10"/>
      <c r="D573" s="10"/>
      <c r="E573" s="10"/>
      <c r="F573" s="25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4.25" customHeight="1" x14ac:dyDescent="0.35">
      <c r="A574" s="10"/>
      <c r="B574" s="10"/>
      <c r="C574" s="10"/>
      <c r="D574" s="10"/>
      <c r="E574" s="10"/>
      <c r="F574" s="25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4.25" customHeight="1" x14ac:dyDescent="0.35">
      <c r="A575" s="10"/>
      <c r="B575" s="10"/>
      <c r="C575" s="10"/>
      <c r="D575" s="10"/>
      <c r="E575" s="10"/>
      <c r="F575" s="25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4.25" customHeight="1" x14ac:dyDescent="0.35">
      <c r="A576" s="10"/>
      <c r="B576" s="10"/>
      <c r="C576" s="10"/>
      <c r="D576" s="10"/>
      <c r="E576" s="10"/>
      <c r="F576" s="25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4.25" customHeight="1" x14ac:dyDescent="0.35">
      <c r="A577" s="10"/>
      <c r="B577" s="10"/>
      <c r="C577" s="10"/>
      <c r="D577" s="10"/>
      <c r="E577" s="10"/>
      <c r="F577" s="25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4.25" customHeight="1" x14ac:dyDescent="0.35">
      <c r="A578" s="10"/>
      <c r="B578" s="10"/>
      <c r="C578" s="10"/>
      <c r="D578" s="10"/>
      <c r="E578" s="10"/>
      <c r="F578" s="25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4.25" customHeight="1" x14ac:dyDescent="0.35">
      <c r="A579" s="10"/>
      <c r="B579" s="10"/>
      <c r="C579" s="10"/>
      <c r="D579" s="10"/>
      <c r="E579" s="10"/>
      <c r="F579" s="25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4.25" customHeight="1" x14ac:dyDescent="0.35">
      <c r="A580" s="10"/>
      <c r="B580" s="10"/>
      <c r="C580" s="10"/>
      <c r="D580" s="10"/>
      <c r="E580" s="10"/>
      <c r="F580" s="25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4.25" customHeight="1" x14ac:dyDescent="0.35">
      <c r="A581" s="10"/>
      <c r="B581" s="10"/>
      <c r="C581" s="10"/>
      <c r="D581" s="10"/>
      <c r="E581" s="10"/>
      <c r="F581" s="25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4.25" customHeight="1" x14ac:dyDescent="0.35">
      <c r="A582" s="10"/>
      <c r="B582" s="10"/>
      <c r="C582" s="10"/>
      <c r="D582" s="10"/>
      <c r="E582" s="10"/>
      <c r="F582" s="25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4.25" customHeight="1" x14ac:dyDescent="0.35">
      <c r="A583" s="10"/>
      <c r="B583" s="10"/>
      <c r="C583" s="10"/>
      <c r="D583" s="10"/>
      <c r="E583" s="10"/>
      <c r="F583" s="25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4.25" customHeight="1" x14ac:dyDescent="0.35">
      <c r="A584" s="10"/>
      <c r="B584" s="10"/>
      <c r="C584" s="10"/>
      <c r="D584" s="10"/>
      <c r="E584" s="10"/>
      <c r="F584" s="25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4.25" customHeight="1" x14ac:dyDescent="0.35">
      <c r="A585" s="10"/>
      <c r="B585" s="10"/>
      <c r="C585" s="10"/>
      <c r="D585" s="10"/>
      <c r="E585" s="10"/>
      <c r="F585" s="25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4.25" customHeight="1" x14ac:dyDescent="0.35">
      <c r="A586" s="10"/>
      <c r="B586" s="10"/>
      <c r="C586" s="10"/>
      <c r="D586" s="10"/>
      <c r="E586" s="10"/>
      <c r="F586" s="25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4.25" customHeight="1" x14ac:dyDescent="0.35">
      <c r="A587" s="10"/>
      <c r="B587" s="10"/>
      <c r="C587" s="10"/>
      <c r="D587" s="10"/>
      <c r="E587" s="10"/>
      <c r="F587" s="25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4.25" customHeight="1" x14ac:dyDescent="0.35">
      <c r="A588" s="10"/>
      <c r="B588" s="10"/>
      <c r="C588" s="10"/>
      <c r="D588" s="10"/>
      <c r="E588" s="10"/>
      <c r="F588" s="25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4.25" customHeight="1" x14ac:dyDescent="0.35">
      <c r="A589" s="10"/>
      <c r="B589" s="10"/>
      <c r="C589" s="10"/>
      <c r="D589" s="10"/>
      <c r="E589" s="10"/>
      <c r="F589" s="25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4.25" customHeight="1" x14ac:dyDescent="0.35">
      <c r="A590" s="10"/>
      <c r="B590" s="10"/>
      <c r="C590" s="10"/>
      <c r="D590" s="10"/>
      <c r="E590" s="10"/>
      <c r="F590" s="25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4.25" customHeight="1" x14ac:dyDescent="0.35">
      <c r="A591" s="10"/>
      <c r="B591" s="10"/>
      <c r="C591" s="10"/>
      <c r="D591" s="10"/>
      <c r="E591" s="10"/>
      <c r="F591" s="25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4.25" customHeight="1" x14ac:dyDescent="0.35">
      <c r="A592" s="10"/>
      <c r="B592" s="10"/>
      <c r="C592" s="10"/>
      <c r="D592" s="10"/>
      <c r="E592" s="10"/>
      <c r="F592" s="25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4.25" customHeight="1" x14ac:dyDescent="0.35">
      <c r="A593" s="10"/>
      <c r="B593" s="10"/>
      <c r="C593" s="10"/>
      <c r="D593" s="10"/>
      <c r="E593" s="10"/>
      <c r="F593" s="25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4.25" customHeight="1" x14ac:dyDescent="0.35">
      <c r="A594" s="10"/>
      <c r="B594" s="10"/>
      <c r="C594" s="10"/>
      <c r="D594" s="10"/>
      <c r="E594" s="10"/>
      <c r="F594" s="25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4.25" customHeight="1" x14ac:dyDescent="0.35">
      <c r="A595" s="10"/>
      <c r="B595" s="10"/>
      <c r="C595" s="10"/>
      <c r="D595" s="10"/>
      <c r="E595" s="10"/>
      <c r="F595" s="25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4.25" customHeight="1" x14ac:dyDescent="0.35">
      <c r="A596" s="10"/>
      <c r="B596" s="10"/>
      <c r="C596" s="10"/>
      <c r="D596" s="10"/>
      <c r="E596" s="10"/>
      <c r="F596" s="25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4.25" customHeight="1" x14ac:dyDescent="0.35">
      <c r="A597" s="10"/>
      <c r="B597" s="10"/>
      <c r="C597" s="10"/>
      <c r="D597" s="10"/>
      <c r="E597" s="10"/>
      <c r="F597" s="25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4.25" customHeight="1" x14ac:dyDescent="0.35">
      <c r="A598" s="10"/>
      <c r="B598" s="10"/>
      <c r="C598" s="10"/>
      <c r="D598" s="10"/>
      <c r="E598" s="10"/>
      <c r="F598" s="25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4.25" customHeight="1" x14ac:dyDescent="0.35">
      <c r="A599" s="10"/>
      <c r="B599" s="10"/>
      <c r="C599" s="10"/>
      <c r="D599" s="10"/>
      <c r="E599" s="10"/>
      <c r="F599" s="25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4.25" customHeight="1" x14ac:dyDescent="0.35">
      <c r="A600" s="10"/>
      <c r="B600" s="10"/>
      <c r="C600" s="10"/>
      <c r="D600" s="10"/>
      <c r="E600" s="10"/>
      <c r="F600" s="25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4.25" customHeight="1" x14ac:dyDescent="0.35">
      <c r="A601" s="10"/>
      <c r="B601" s="10"/>
      <c r="C601" s="10"/>
      <c r="D601" s="10"/>
      <c r="E601" s="10"/>
      <c r="F601" s="25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4.25" customHeight="1" x14ac:dyDescent="0.35">
      <c r="A602" s="10"/>
      <c r="B602" s="10"/>
      <c r="C602" s="10"/>
      <c r="D602" s="10"/>
      <c r="E602" s="10"/>
      <c r="F602" s="25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4.25" customHeight="1" x14ac:dyDescent="0.35">
      <c r="A603" s="10"/>
      <c r="B603" s="10"/>
      <c r="C603" s="10"/>
      <c r="D603" s="10"/>
      <c r="E603" s="10"/>
      <c r="F603" s="25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4.25" customHeight="1" x14ac:dyDescent="0.35">
      <c r="A604" s="10"/>
      <c r="B604" s="10"/>
      <c r="C604" s="10"/>
      <c r="D604" s="10"/>
      <c r="E604" s="10"/>
      <c r="F604" s="25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4.25" customHeight="1" x14ac:dyDescent="0.35">
      <c r="A605" s="10"/>
      <c r="B605" s="10"/>
      <c r="C605" s="10"/>
      <c r="D605" s="10"/>
      <c r="E605" s="10"/>
      <c r="F605" s="25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4.25" customHeight="1" x14ac:dyDescent="0.35">
      <c r="A606" s="10"/>
      <c r="B606" s="10"/>
      <c r="C606" s="10"/>
      <c r="D606" s="10"/>
      <c r="E606" s="10"/>
      <c r="F606" s="25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4.25" customHeight="1" x14ac:dyDescent="0.35">
      <c r="A607" s="10"/>
      <c r="B607" s="10"/>
      <c r="C607" s="10"/>
      <c r="D607" s="10"/>
      <c r="E607" s="10"/>
      <c r="F607" s="25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4.25" customHeight="1" x14ac:dyDescent="0.35">
      <c r="A608" s="10"/>
      <c r="B608" s="10"/>
      <c r="C608" s="10"/>
      <c r="D608" s="10"/>
      <c r="E608" s="10"/>
      <c r="F608" s="25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4.25" customHeight="1" x14ac:dyDescent="0.35">
      <c r="A609" s="10"/>
      <c r="B609" s="10"/>
      <c r="C609" s="10"/>
      <c r="D609" s="10"/>
      <c r="E609" s="10"/>
      <c r="F609" s="25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4.25" customHeight="1" x14ac:dyDescent="0.35">
      <c r="A610" s="10"/>
      <c r="B610" s="10"/>
      <c r="C610" s="10"/>
      <c r="D610" s="10"/>
      <c r="E610" s="10"/>
      <c r="F610" s="25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4.25" customHeight="1" x14ac:dyDescent="0.35">
      <c r="A611" s="10"/>
      <c r="B611" s="10"/>
      <c r="C611" s="10"/>
      <c r="D611" s="10"/>
      <c r="E611" s="10"/>
      <c r="F611" s="25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4.25" customHeight="1" x14ac:dyDescent="0.35">
      <c r="A612" s="10"/>
      <c r="B612" s="10"/>
      <c r="C612" s="10"/>
      <c r="D612" s="10"/>
      <c r="E612" s="10"/>
      <c r="F612" s="25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4.25" customHeight="1" x14ac:dyDescent="0.35">
      <c r="A613" s="10"/>
      <c r="B613" s="10"/>
      <c r="C613" s="10"/>
      <c r="D613" s="10"/>
      <c r="E613" s="10"/>
      <c r="F613" s="25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4.25" customHeight="1" x14ac:dyDescent="0.35">
      <c r="A614" s="10"/>
      <c r="B614" s="10"/>
      <c r="C614" s="10"/>
      <c r="D614" s="10"/>
      <c r="E614" s="10"/>
      <c r="F614" s="25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4.25" customHeight="1" x14ac:dyDescent="0.35">
      <c r="A615" s="10"/>
      <c r="B615" s="10"/>
      <c r="C615" s="10"/>
      <c r="D615" s="10"/>
      <c r="E615" s="10"/>
      <c r="F615" s="25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4.25" customHeight="1" x14ac:dyDescent="0.35">
      <c r="A616" s="10"/>
      <c r="B616" s="10"/>
      <c r="C616" s="10"/>
      <c r="D616" s="10"/>
      <c r="E616" s="10"/>
      <c r="F616" s="25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4.25" customHeight="1" x14ac:dyDescent="0.35">
      <c r="A617" s="10"/>
      <c r="B617" s="10"/>
      <c r="C617" s="10"/>
      <c r="D617" s="10"/>
      <c r="E617" s="10"/>
      <c r="F617" s="25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4.25" customHeight="1" x14ac:dyDescent="0.35">
      <c r="A618" s="10"/>
      <c r="B618" s="10"/>
      <c r="C618" s="10"/>
      <c r="D618" s="10"/>
      <c r="E618" s="10"/>
      <c r="F618" s="25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4.25" customHeight="1" x14ac:dyDescent="0.35">
      <c r="A619" s="10"/>
      <c r="B619" s="10"/>
      <c r="C619" s="10"/>
      <c r="D619" s="10"/>
      <c r="E619" s="10"/>
      <c r="F619" s="25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4.25" customHeight="1" x14ac:dyDescent="0.35">
      <c r="A620" s="10"/>
      <c r="B620" s="10"/>
      <c r="C620" s="10"/>
      <c r="D620" s="10"/>
      <c r="E620" s="10"/>
      <c r="F620" s="25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4.25" customHeight="1" x14ac:dyDescent="0.35">
      <c r="A621" s="10"/>
      <c r="B621" s="10"/>
      <c r="C621" s="10"/>
      <c r="D621" s="10"/>
      <c r="E621" s="10"/>
      <c r="F621" s="25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4.25" customHeight="1" x14ac:dyDescent="0.35">
      <c r="A622" s="10"/>
      <c r="B622" s="10"/>
      <c r="C622" s="10"/>
      <c r="D622" s="10"/>
      <c r="E622" s="10"/>
      <c r="F622" s="25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4.25" customHeight="1" x14ac:dyDescent="0.35">
      <c r="A623" s="10"/>
      <c r="B623" s="10"/>
      <c r="C623" s="10"/>
      <c r="D623" s="10"/>
      <c r="E623" s="10"/>
      <c r="F623" s="25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4.25" customHeight="1" x14ac:dyDescent="0.35">
      <c r="A624" s="10"/>
      <c r="B624" s="10"/>
      <c r="C624" s="10"/>
      <c r="D624" s="10"/>
      <c r="E624" s="10"/>
      <c r="F624" s="25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4.25" customHeight="1" x14ac:dyDescent="0.35">
      <c r="A625" s="10"/>
      <c r="B625" s="10"/>
      <c r="C625" s="10"/>
      <c r="D625" s="10"/>
      <c r="E625" s="10"/>
      <c r="F625" s="25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4.25" customHeight="1" x14ac:dyDescent="0.35">
      <c r="A626" s="10"/>
      <c r="B626" s="10"/>
      <c r="C626" s="10"/>
      <c r="D626" s="10"/>
      <c r="E626" s="10"/>
      <c r="F626" s="25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4.25" customHeight="1" x14ac:dyDescent="0.35">
      <c r="A627" s="10"/>
      <c r="B627" s="10"/>
      <c r="C627" s="10"/>
      <c r="D627" s="10"/>
      <c r="E627" s="10"/>
      <c r="F627" s="25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4.25" customHeight="1" x14ac:dyDescent="0.35">
      <c r="A628" s="10"/>
      <c r="B628" s="10"/>
      <c r="C628" s="10"/>
      <c r="D628" s="10"/>
      <c r="E628" s="10"/>
      <c r="F628" s="25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4.25" customHeight="1" x14ac:dyDescent="0.35">
      <c r="A629" s="10"/>
      <c r="B629" s="10"/>
      <c r="C629" s="10"/>
      <c r="D629" s="10"/>
      <c r="E629" s="10"/>
      <c r="F629" s="25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4.25" customHeight="1" x14ac:dyDescent="0.35">
      <c r="A630" s="10"/>
      <c r="B630" s="10"/>
      <c r="C630" s="10"/>
      <c r="D630" s="10"/>
      <c r="E630" s="10"/>
      <c r="F630" s="25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4.25" customHeight="1" x14ac:dyDescent="0.35">
      <c r="A631" s="10"/>
      <c r="B631" s="10"/>
      <c r="C631" s="10"/>
      <c r="D631" s="10"/>
      <c r="E631" s="10"/>
      <c r="F631" s="25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4.25" customHeight="1" x14ac:dyDescent="0.35">
      <c r="A632" s="10"/>
      <c r="B632" s="10"/>
      <c r="C632" s="10"/>
      <c r="D632" s="10"/>
      <c r="E632" s="10"/>
      <c r="F632" s="25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4.25" customHeight="1" x14ac:dyDescent="0.35">
      <c r="A633" s="10"/>
      <c r="B633" s="10"/>
      <c r="C633" s="10"/>
      <c r="D633" s="10"/>
      <c r="E633" s="10"/>
      <c r="F633" s="25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4.25" customHeight="1" x14ac:dyDescent="0.35">
      <c r="A634" s="10"/>
      <c r="B634" s="10"/>
      <c r="C634" s="10"/>
      <c r="D634" s="10"/>
      <c r="E634" s="10"/>
      <c r="F634" s="25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4.25" customHeight="1" x14ac:dyDescent="0.35">
      <c r="A635" s="10"/>
      <c r="B635" s="10"/>
      <c r="C635" s="10"/>
      <c r="D635" s="10"/>
      <c r="E635" s="10"/>
      <c r="F635" s="25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4.25" customHeight="1" x14ac:dyDescent="0.35">
      <c r="A636" s="10"/>
      <c r="B636" s="10"/>
      <c r="C636" s="10"/>
      <c r="D636" s="10"/>
      <c r="E636" s="10"/>
      <c r="F636" s="25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4.25" customHeight="1" x14ac:dyDescent="0.35">
      <c r="A637" s="10"/>
      <c r="B637" s="10"/>
      <c r="C637" s="10"/>
      <c r="D637" s="10"/>
      <c r="E637" s="10"/>
      <c r="F637" s="25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4.25" customHeight="1" x14ac:dyDescent="0.35">
      <c r="A638" s="10"/>
      <c r="B638" s="10"/>
      <c r="C638" s="10"/>
      <c r="D638" s="10"/>
      <c r="E638" s="10"/>
      <c r="F638" s="25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4.25" customHeight="1" x14ac:dyDescent="0.35">
      <c r="A639" s="10"/>
      <c r="B639" s="10"/>
      <c r="C639" s="10"/>
      <c r="D639" s="10"/>
      <c r="E639" s="10"/>
      <c r="F639" s="25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4.25" customHeight="1" x14ac:dyDescent="0.35">
      <c r="A640" s="10"/>
      <c r="B640" s="10"/>
      <c r="C640" s="10"/>
      <c r="D640" s="10"/>
      <c r="E640" s="10"/>
      <c r="F640" s="25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4.25" customHeight="1" x14ac:dyDescent="0.35">
      <c r="A641" s="10"/>
      <c r="B641" s="10"/>
      <c r="C641" s="10"/>
      <c r="D641" s="10"/>
      <c r="E641" s="10"/>
      <c r="F641" s="25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4.25" customHeight="1" x14ac:dyDescent="0.35">
      <c r="A642" s="10"/>
      <c r="B642" s="10"/>
      <c r="C642" s="10"/>
      <c r="D642" s="10"/>
      <c r="E642" s="10"/>
      <c r="F642" s="25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4.25" customHeight="1" x14ac:dyDescent="0.35">
      <c r="A643" s="10"/>
      <c r="B643" s="10"/>
      <c r="C643" s="10"/>
      <c r="D643" s="10"/>
      <c r="E643" s="10"/>
      <c r="F643" s="25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4.25" customHeight="1" x14ac:dyDescent="0.35">
      <c r="A644" s="10"/>
      <c r="B644" s="10"/>
      <c r="C644" s="10"/>
      <c r="D644" s="10"/>
      <c r="E644" s="10"/>
      <c r="F644" s="25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4.25" customHeight="1" x14ac:dyDescent="0.35">
      <c r="A645" s="10"/>
      <c r="B645" s="10"/>
      <c r="C645" s="10"/>
      <c r="D645" s="10"/>
      <c r="E645" s="10"/>
      <c r="F645" s="25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4.25" customHeight="1" x14ac:dyDescent="0.35">
      <c r="A646" s="10"/>
      <c r="B646" s="10"/>
      <c r="C646" s="10"/>
      <c r="D646" s="10"/>
      <c r="E646" s="10"/>
      <c r="F646" s="25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4.25" customHeight="1" x14ac:dyDescent="0.35">
      <c r="A647" s="10"/>
      <c r="B647" s="10"/>
      <c r="C647" s="10"/>
      <c r="D647" s="10"/>
      <c r="E647" s="10"/>
      <c r="F647" s="25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4.25" customHeight="1" x14ac:dyDescent="0.35">
      <c r="A648" s="10"/>
      <c r="B648" s="10"/>
      <c r="C648" s="10"/>
      <c r="D648" s="10"/>
      <c r="E648" s="10"/>
      <c r="F648" s="25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4.25" customHeight="1" x14ac:dyDescent="0.35">
      <c r="A649" s="10"/>
      <c r="B649" s="10"/>
      <c r="C649" s="10"/>
      <c r="D649" s="10"/>
      <c r="E649" s="10"/>
      <c r="F649" s="25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4.25" customHeight="1" x14ac:dyDescent="0.35">
      <c r="A650" s="10"/>
      <c r="B650" s="10"/>
      <c r="C650" s="10"/>
      <c r="D650" s="10"/>
      <c r="E650" s="10"/>
      <c r="F650" s="25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4.25" customHeight="1" x14ac:dyDescent="0.35">
      <c r="A651" s="10"/>
      <c r="B651" s="10"/>
      <c r="C651" s="10"/>
      <c r="D651" s="10"/>
      <c r="E651" s="10"/>
      <c r="F651" s="25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4.25" customHeight="1" x14ac:dyDescent="0.35">
      <c r="A652" s="10"/>
      <c r="B652" s="10"/>
      <c r="C652" s="10"/>
      <c r="D652" s="10"/>
      <c r="E652" s="10"/>
      <c r="F652" s="25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4.25" customHeight="1" x14ac:dyDescent="0.35">
      <c r="A653" s="10"/>
      <c r="B653" s="10"/>
      <c r="C653" s="10"/>
      <c r="D653" s="10"/>
      <c r="E653" s="10"/>
      <c r="F653" s="25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4.25" customHeight="1" x14ac:dyDescent="0.35">
      <c r="A654" s="10"/>
      <c r="B654" s="10"/>
      <c r="C654" s="10"/>
      <c r="D654" s="10"/>
      <c r="E654" s="10"/>
      <c r="F654" s="25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4.25" customHeight="1" x14ac:dyDescent="0.35">
      <c r="A655" s="10"/>
      <c r="B655" s="10"/>
      <c r="C655" s="10"/>
      <c r="D655" s="10"/>
      <c r="E655" s="10"/>
      <c r="F655" s="25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4.25" customHeight="1" x14ac:dyDescent="0.35">
      <c r="A656" s="10"/>
      <c r="B656" s="10"/>
      <c r="C656" s="10"/>
      <c r="D656" s="10"/>
      <c r="E656" s="10"/>
      <c r="F656" s="25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4.25" customHeight="1" x14ac:dyDescent="0.35">
      <c r="A657" s="10"/>
      <c r="B657" s="10"/>
      <c r="C657" s="10"/>
      <c r="D657" s="10"/>
      <c r="E657" s="10"/>
      <c r="F657" s="25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4.25" customHeight="1" x14ac:dyDescent="0.35">
      <c r="A658" s="10"/>
      <c r="B658" s="10"/>
      <c r="C658" s="10"/>
      <c r="D658" s="10"/>
      <c r="E658" s="10"/>
      <c r="F658" s="25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4.25" customHeight="1" x14ac:dyDescent="0.35">
      <c r="A659" s="10"/>
      <c r="B659" s="10"/>
      <c r="C659" s="10"/>
      <c r="D659" s="10"/>
      <c r="E659" s="10"/>
      <c r="F659" s="25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4.25" customHeight="1" x14ac:dyDescent="0.35">
      <c r="A660" s="10"/>
      <c r="B660" s="10"/>
      <c r="C660" s="10"/>
      <c r="D660" s="10"/>
      <c r="E660" s="10"/>
      <c r="F660" s="25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4.25" customHeight="1" x14ac:dyDescent="0.35">
      <c r="A661" s="10"/>
      <c r="B661" s="10"/>
      <c r="C661" s="10"/>
      <c r="D661" s="10"/>
      <c r="E661" s="10"/>
      <c r="F661" s="25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4.25" customHeight="1" x14ac:dyDescent="0.35">
      <c r="A662" s="10"/>
      <c r="B662" s="10"/>
      <c r="C662" s="10"/>
      <c r="D662" s="10"/>
      <c r="E662" s="10"/>
      <c r="F662" s="25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4.25" customHeight="1" x14ac:dyDescent="0.35">
      <c r="A663" s="10"/>
      <c r="B663" s="10"/>
      <c r="C663" s="10"/>
      <c r="D663" s="10"/>
      <c r="E663" s="10"/>
      <c r="F663" s="25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4.25" customHeight="1" x14ac:dyDescent="0.35">
      <c r="A664" s="10"/>
      <c r="B664" s="10"/>
      <c r="C664" s="10"/>
      <c r="D664" s="10"/>
      <c r="E664" s="10"/>
      <c r="F664" s="25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4.25" customHeight="1" x14ac:dyDescent="0.35">
      <c r="A665" s="10"/>
      <c r="B665" s="10"/>
      <c r="C665" s="10"/>
      <c r="D665" s="10"/>
      <c r="E665" s="10"/>
      <c r="F665" s="25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4.25" customHeight="1" x14ac:dyDescent="0.35">
      <c r="A666" s="10"/>
      <c r="B666" s="10"/>
      <c r="C666" s="10"/>
      <c r="D666" s="10"/>
      <c r="E666" s="10"/>
      <c r="F666" s="25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4.25" customHeight="1" x14ac:dyDescent="0.35">
      <c r="A667" s="10"/>
      <c r="B667" s="10"/>
      <c r="C667" s="10"/>
      <c r="D667" s="10"/>
      <c r="E667" s="10"/>
      <c r="F667" s="25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4.25" customHeight="1" x14ac:dyDescent="0.35">
      <c r="A668" s="10"/>
      <c r="B668" s="10"/>
      <c r="C668" s="10"/>
      <c r="D668" s="10"/>
      <c r="E668" s="10"/>
      <c r="F668" s="25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4.25" customHeight="1" x14ac:dyDescent="0.35">
      <c r="A669" s="10"/>
      <c r="B669" s="10"/>
      <c r="C669" s="10"/>
      <c r="D669" s="10"/>
      <c r="E669" s="10"/>
      <c r="F669" s="25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4.25" customHeight="1" x14ac:dyDescent="0.35">
      <c r="A670" s="10"/>
      <c r="B670" s="10"/>
      <c r="C670" s="10"/>
      <c r="D670" s="10"/>
      <c r="E670" s="10"/>
      <c r="F670" s="25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4.25" customHeight="1" x14ac:dyDescent="0.35">
      <c r="A671" s="10"/>
      <c r="B671" s="10"/>
      <c r="C671" s="10"/>
      <c r="D671" s="10"/>
      <c r="E671" s="10"/>
      <c r="F671" s="25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4.25" customHeight="1" x14ac:dyDescent="0.35">
      <c r="A672" s="10"/>
      <c r="B672" s="10"/>
      <c r="C672" s="10"/>
      <c r="D672" s="10"/>
      <c r="E672" s="10"/>
      <c r="F672" s="25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4.25" customHeight="1" x14ac:dyDescent="0.35">
      <c r="A673" s="10"/>
      <c r="B673" s="10"/>
      <c r="C673" s="10"/>
      <c r="D673" s="10"/>
      <c r="E673" s="10"/>
      <c r="F673" s="25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4.25" customHeight="1" x14ac:dyDescent="0.35">
      <c r="A674" s="10"/>
      <c r="B674" s="10"/>
      <c r="C674" s="10"/>
      <c r="D674" s="10"/>
      <c r="E674" s="10"/>
      <c r="F674" s="25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4.25" customHeight="1" x14ac:dyDescent="0.35">
      <c r="A675" s="10"/>
      <c r="B675" s="10"/>
      <c r="C675" s="10"/>
      <c r="D675" s="10"/>
      <c r="E675" s="10"/>
      <c r="F675" s="25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4.25" customHeight="1" x14ac:dyDescent="0.35">
      <c r="A676" s="10"/>
      <c r="B676" s="10"/>
      <c r="C676" s="10"/>
      <c r="D676" s="10"/>
      <c r="E676" s="10"/>
      <c r="F676" s="25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4.25" customHeight="1" x14ac:dyDescent="0.35">
      <c r="A677" s="10"/>
      <c r="B677" s="10"/>
      <c r="C677" s="10"/>
      <c r="D677" s="10"/>
      <c r="E677" s="10"/>
      <c r="F677" s="25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4.25" customHeight="1" x14ac:dyDescent="0.35">
      <c r="A678" s="10"/>
      <c r="B678" s="10"/>
      <c r="C678" s="10"/>
      <c r="D678" s="10"/>
      <c r="E678" s="10"/>
      <c r="F678" s="25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4.25" customHeight="1" x14ac:dyDescent="0.35">
      <c r="A679" s="10"/>
      <c r="B679" s="10"/>
      <c r="C679" s="10"/>
      <c r="D679" s="10"/>
      <c r="E679" s="10"/>
      <c r="F679" s="25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4.25" customHeight="1" x14ac:dyDescent="0.35">
      <c r="A680" s="10"/>
      <c r="B680" s="10"/>
      <c r="C680" s="10"/>
      <c r="D680" s="10"/>
      <c r="E680" s="10"/>
      <c r="F680" s="25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4.25" customHeight="1" x14ac:dyDescent="0.35">
      <c r="A681" s="10"/>
      <c r="B681" s="10"/>
      <c r="C681" s="10"/>
      <c r="D681" s="10"/>
      <c r="E681" s="10"/>
      <c r="F681" s="25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4.25" customHeight="1" x14ac:dyDescent="0.35">
      <c r="A682" s="10"/>
      <c r="B682" s="10"/>
      <c r="C682" s="10"/>
      <c r="D682" s="10"/>
      <c r="E682" s="10"/>
      <c r="F682" s="25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4.25" customHeight="1" x14ac:dyDescent="0.35">
      <c r="A683" s="10"/>
      <c r="B683" s="10"/>
      <c r="C683" s="10"/>
      <c r="D683" s="10"/>
      <c r="E683" s="10"/>
      <c r="F683" s="25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4.25" customHeight="1" x14ac:dyDescent="0.35">
      <c r="A684" s="10"/>
      <c r="B684" s="10"/>
      <c r="C684" s="10"/>
      <c r="D684" s="10"/>
      <c r="E684" s="10"/>
      <c r="F684" s="25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4.25" customHeight="1" x14ac:dyDescent="0.35">
      <c r="A685" s="10"/>
      <c r="B685" s="10"/>
      <c r="C685" s="10"/>
      <c r="D685" s="10"/>
      <c r="E685" s="10"/>
      <c r="F685" s="25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4.25" customHeight="1" x14ac:dyDescent="0.35">
      <c r="A686" s="10"/>
      <c r="B686" s="10"/>
      <c r="C686" s="10"/>
      <c r="D686" s="10"/>
      <c r="E686" s="10"/>
      <c r="F686" s="25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4.25" customHeight="1" x14ac:dyDescent="0.35">
      <c r="A687" s="10"/>
      <c r="B687" s="10"/>
      <c r="C687" s="10"/>
      <c r="D687" s="10"/>
      <c r="E687" s="10"/>
      <c r="F687" s="25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4.25" customHeight="1" x14ac:dyDescent="0.35">
      <c r="A688" s="10"/>
      <c r="B688" s="10"/>
      <c r="C688" s="10"/>
      <c r="D688" s="10"/>
      <c r="E688" s="10"/>
      <c r="F688" s="25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4.25" customHeight="1" x14ac:dyDescent="0.35">
      <c r="A689" s="10"/>
      <c r="B689" s="10"/>
      <c r="C689" s="10"/>
      <c r="D689" s="10"/>
      <c r="E689" s="10"/>
      <c r="F689" s="25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4.25" customHeight="1" x14ac:dyDescent="0.35">
      <c r="A690" s="10"/>
      <c r="B690" s="10"/>
      <c r="C690" s="10"/>
      <c r="D690" s="10"/>
      <c r="E690" s="10"/>
      <c r="F690" s="25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4.25" customHeight="1" x14ac:dyDescent="0.35">
      <c r="A691" s="10"/>
      <c r="B691" s="10"/>
      <c r="C691" s="10"/>
      <c r="D691" s="10"/>
      <c r="E691" s="10"/>
      <c r="F691" s="25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4.25" customHeight="1" x14ac:dyDescent="0.35">
      <c r="A692" s="10"/>
      <c r="B692" s="10"/>
      <c r="C692" s="10"/>
      <c r="D692" s="10"/>
      <c r="E692" s="10"/>
      <c r="F692" s="25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4.25" customHeight="1" x14ac:dyDescent="0.35">
      <c r="A693" s="10"/>
      <c r="B693" s="10"/>
      <c r="C693" s="10"/>
      <c r="D693" s="10"/>
      <c r="E693" s="10"/>
      <c r="F693" s="25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4.25" customHeight="1" x14ac:dyDescent="0.35">
      <c r="A694" s="10"/>
      <c r="B694" s="10"/>
      <c r="C694" s="10"/>
      <c r="D694" s="10"/>
      <c r="E694" s="10"/>
      <c r="F694" s="25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4.25" customHeight="1" x14ac:dyDescent="0.35">
      <c r="A695" s="10"/>
      <c r="B695" s="10"/>
      <c r="C695" s="10"/>
      <c r="D695" s="10"/>
      <c r="E695" s="10"/>
      <c r="F695" s="25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4.25" customHeight="1" x14ac:dyDescent="0.35">
      <c r="A696" s="10"/>
      <c r="B696" s="10"/>
      <c r="C696" s="10"/>
      <c r="D696" s="10"/>
      <c r="E696" s="10"/>
      <c r="F696" s="25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4.25" customHeight="1" x14ac:dyDescent="0.35">
      <c r="A697" s="10"/>
      <c r="B697" s="10"/>
      <c r="C697" s="10"/>
      <c r="D697" s="10"/>
      <c r="E697" s="10"/>
      <c r="F697" s="25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4.25" customHeight="1" x14ac:dyDescent="0.35">
      <c r="A698" s="10"/>
      <c r="B698" s="10"/>
      <c r="C698" s="10"/>
      <c r="D698" s="10"/>
      <c r="E698" s="10"/>
      <c r="F698" s="25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4.25" customHeight="1" x14ac:dyDescent="0.35">
      <c r="A699" s="10"/>
      <c r="B699" s="10"/>
      <c r="C699" s="10"/>
      <c r="D699" s="10"/>
      <c r="E699" s="10"/>
      <c r="F699" s="25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4.25" customHeight="1" x14ac:dyDescent="0.35">
      <c r="A700" s="10"/>
      <c r="B700" s="10"/>
      <c r="C700" s="10"/>
      <c r="D700" s="10"/>
      <c r="E700" s="10"/>
      <c r="F700" s="25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4.25" customHeight="1" x14ac:dyDescent="0.35">
      <c r="A701" s="10"/>
      <c r="B701" s="10"/>
      <c r="C701" s="10"/>
      <c r="D701" s="10"/>
      <c r="E701" s="10"/>
      <c r="F701" s="25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4.25" customHeight="1" x14ac:dyDescent="0.35">
      <c r="A702" s="10"/>
      <c r="B702" s="10"/>
      <c r="C702" s="10"/>
      <c r="D702" s="10"/>
      <c r="E702" s="10"/>
      <c r="F702" s="25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4.25" customHeight="1" x14ac:dyDescent="0.35">
      <c r="A703" s="10"/>
      <c r="B703" s="10"/>
      <c r="C703" s="10"/>
      <c r="D703" s="10"/>
      <c r="E703" s="10"/>
      <c r="F703" s="25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4.25" customHeight="1" x14ac:dyDescent="0.35">
      <c r="A704" s="10"/>
      <c r="B704" s="10"/>
      <c r="C704" s="10"/>
      <c r="D704" s="10"/>
      <c r="E704" s="10"/>
      <c r="F704" s="25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4.25" customHeight="1" x14ac:dyDescent="0.35">
      <c r="A705" s="10"/>
      <c r="B705" s="10"/>
      <c r="C705" s="10"/>
      <c r="D705" s="10"/>
      <c r="E705" s="10"/>
      <c r="F705" s="25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4.25" customHeight="1" x14ac:dyDescent="0.35">
      <c r="A706" s="10"/>
      <c r="B706" s="10"/>
      <c r="C706" s="10"/>
      <c r="D706" s="10"/>
      <c r="E706" s="10"/>
      <c r="F706" s="25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4.25" customHeight="1" x14ac:dyDescent="0.35">
      <c r="A707" s="10"/>
      <c r="B707" s="10"/>
      <c r="C707" s="10"/>
      <c r="D707" s="10"/>
      <c r="E707" s="10"/>
      <c r="F707" s="25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4.25" customHeight="1" x14ac:dyDescent="0.35">
      <c r="A708" s="10"/>
      <c r="B708" s="10"/>
      <c r="C708" s="10"/>
      <c r="D708" s="10"/>
      <c r="E708" s="10"/>
      <c r="F708" s="25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4.25" customHeight="1" x14ac:dyDescent="0.35">
      <c r="A709" s="10"/>
      <c r="B709" s="10"/>
      <c r="C709" s="10"/>
      <c r="D709" s="10"/>
      <c r="E709" s="10"/>
      <c r="F709" s="25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4.25" customHeight="1" x14ac:dyDescent="0.35">
      <c r="A710" s="10"/>
      <c r="B710" s="10"/>
      <c r="C710" s="10"/>
      <c r="D710" s="10"/>
      <c r="E710" s="10"/>
      <c r="F710" s="25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4.25" customHeight="1" x14ac:dyDescent="0.35">
      <c r="A711" s="10"/>
      <c r="B711" s="10"/>
      <c r="C711" s="10"/>
      <c r="D711" s="10"/>
      <c r="E711" s="10"/>
      <c r="F711" s="25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4.25" customHeight="1" x14ac:dyDescent="0.35">
      <c r="A712" s="10"/>
      <c r="B712" s="10"/>
      <c r="C712" s="10"/>
      <c r="D712" s="10"/>
      <c r="E712" s="10"/>
      <c r="F712" s="25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4.25" customHeight="1" x14ac:dyDescent="0.35">
      <c r="A713" s="10"/>
      <c r="B713" s="10"/>
      <c r="C713" s="10"/>
      <c r="D713" s="10"/>
      <c r="E713" s="10"/>
      <c r="F713" s="25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4.25" customHeight="1" x14ac:dyDescent="0.35">
      <c r="A714" s="10"/>
      <c r="B714" s="10"/>
      <c r="C714" s="10"/>
      <c r="D714" s="10"/>
      <c r="E714" s="10"/>
      <c r="F714" s="25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4.25" customHeight="1" x14ac:dyDescent="0.35">
      <c r="A715" s="10"/>
      <c r="B715" s="10"/>
      <c r="C715" s="10"/>
      <c r="D715" s="10"/>
      <c r="E715" s="10"/>
      <c r="F715" s="25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4.25" customHeight="1" x14ac:dyDescent="0.35">
      <c r="A716" s="10"/>
      <c r="B716" s="10"/>
      <c r="C716" s="10"/>
      <c r="D716" s="10"/>
      <c r="E716" s="10"/>
      <c r="F716" s="25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4.25" customHeight="1" x14ac:dyDescent="0.35">
      <c r="A717" s="10"/>
      <c r="B717" s="10"/>
      <c r="C717" s="10"/>
      <c r="D717" s="10"/>
      <c r="E717" s="10"/>
      <c r="F717" s="25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4.25" customHeight="1" x14ac:dyDescent="0.35">
      <c r="A718" s="10"/>
      <c r="B718" s="10"/>
      <c r="C718" s="10"/>
      <c r="D718" s="10"/>
      <c r="E718" s="10"/>
      <c r="F718" s="25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4.25" customHeight="1" x14ac:dyDescent="0.35">
      <c r="A719" s="10"/>
      <c r="B719" s="10"/>
      <c r="C719" s="10"/>
      <c r="D719" s="10"/>
      <c r="E719" s="10"/>
      <c r="F719" s="25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4.25" customHeight="1" x14ac:dyDescent="0.35">
      <c r="A720" s="10"/>
      <c r="B720" s="10"/>
      <c r="C720" s="10"/>
      <c r="D720" s="10"/>
      <c r="E720" s="10"/>
      <c r="F720" s="25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4.25" customHeight="1" x14ac:dyDescent="0.35">
      <c r="A721" s="10"/>
      <c r="B721" s="10"/>
      <c r="C721" s="10"/>
      <c r="D721" s="10"/>
      <c r="E721" s="10"/>
      <c r="F721" s="25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4.25" customHeight="1" x14ac:dyDescent="0.35">
      <c r="A722" s="10"/>
      <c r="B722" s="10"/>
      <c r="C722" s="10"/>
      <c r="D722" s="10"/>
      <c r="E722" s="10"/>
      <c r="F722" s="25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4.25" customHeight="1" x14ac:dyDescent="0.35">
      <c r="A723" s="10"/>
      <c r="B723" s="10"/>
      <c r="C723" s="10"/>
      <c r="D723" s="10"/>
      <c r="E723" s="10"/>
      <c r="F723" s="25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4.25" customHeight="1" x14ac:dyDescent="0.35">
      <c r="A724" s="10"/>
      <c r="B724" s="10"/>
      <c r="C724" s="10"/>
      <c r="D724" s="10"/>
      <c r="E724" s="10"/>
      <c r="F724" s="25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4.25" customHeight="1" x14ac:dyDescent="0.35">
      <c r="A725" s="10"/>
      <c r="B725" s="10"/>
      <c r="C725" s="10"/>
      <c r="D725" s="10"/>
      <c r="E725" s="10"/>
      <c r="F725" s="25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4.25" customHeight="1" x14ac:dyDescent="0.35">
      <c r="A726" s="10"/>
      <c r="B726" s="10"/>
      <c r="C726" s="10"/>
      <c r="D726" s="10"/>
      <c r="E726" s="10"/>
      <c r="F726" s="25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4.25" customHeight="1" x14ac:dyDescent="0.35">
      <c r="A727" s="10"/>
      <c r="B727" s="10"/>
      <c r="C727" s="10"/>
      <c r="D727" s="10"/>
      <c r="E727" s="10"/>
      <c r="F727" s="25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4.25" customHeight="1" x14ac:dyDescent="0.35">
      <c r="A728" s="10"/>
      <c r="B728" s="10"/>
      <c r="C728" s="10"/>
      <c r="D728" s="10"/>
      <c r="E728" s="10"/>
      <c r="F728" s="25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4.25" customHeight="1" x14ac:dyDescent="0.35">
      <c r="A729" s="10"/>
      <c r="B729" s="10"/>
      <c r="C729" s="10"/>
      <c r="D729" s="10"/>
      <c r="E729" s="10"/>
      <c r="F729" s="25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4.25" customHeight="1" x14ac:dyDescent="0.35">
      <c r="A730" s="10"/>
      <c r="B730" s="10"/>
      <c r="C730" s="10"/>
      <c r="D730" s="10"/>
      <c r="E730" s="10"/>
      <c r="F730" s="25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4.25" customHeight="1" x14ac:dyDescent="0.35">
      <c r="A731" s="10"/>
      <c r="B731" s="10"/>
      <c r="C731" s="10"/>
      <c r="D731" s="10"/>
      <c r="E731" s="10"/>
      <c r="F731" s="25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4.25" customHeight="1" x14ac:dyDescent="0.35">
      <c r="A732" s="10"/>
      <c r="B732" s="10"/>
      <c r="C732" s="10"/>
      <c r="D732" s="10"/>
      <c r="E732" s="10"/>
      <c r="F732" s="25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4.25" customHeight="1" x14ac:dyDescent="0.35">
      <c r="A733" s="10"/>
      <c r="B733" s="10"/>
      <c r="C733" s="10"/>
      <c r="D733" s="10"/>
      <c r="E733" s="10"/>
      <c r="F733" s="25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4.25" customHeight="1" x14ac:dyDescent="0.35">
      <c r="A734" s="10"/>
      <c r="B734" s="10"/>
      <c r="C734" s="10"/>
      <c r="D734" s="10"/>
      <c r="E734" s="10"/>
      <c r="F734" s="25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4.25" customHeight="1" x14ac:dyDescent="0.35">
      <c r="A735" s="10"/>
      <c r="B735" s="10"/>
      <c r="C735" s="10"/>
      <c r="D735" s="10"/>
      <c r="E735" s="10"/>
      <c r="F735" s="25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4.25" customHeight="1" x14ac:dyDescent="0.35">
      <c r="A736" s="10"/>
      <c r="B736" s="10"/>
      <c r="C736" s="10"/>
      <c r="D736" s="10"/>
      <c r="E736" s="10"/>
      <c r="F736" s="25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4.25" customHeight="1" x14ac:dyDescent="0.35">
      <c r="A737" s="10"/>
      <c r="B737" s="10"/>
      <c r="C737" s="10"/>
      <c r="D737" s="10"/>
      <c r="E737" s="10"/>
      <c r="F737" s="25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4.25" customHeight="1" x14ac:dyDescent="0.35">
      <c r="A738" s="10"/>
      <c r="B738" s="10"/>
      <c r="C738" s="10"/>
      <c r="D738" s="10"/>
      <c r="E738" s="10"/>
      <c r="F738" s="25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4.25" customHeight="1" x14ac:dyDescent="0.35">
      <c r="A739" s="10"/>
      <c r="B739" s="10"/>
      <c r="C739" s="10"/>
      <c r="D739" s="10"/>
      <c r="E739" s="10"/>
      <c r="F739" s="25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4.25" customHeight="1" x14ac:dyDescent="0.35">
      <c r="A740" s="10"/>
      <c r="B740" s="10"/>
      <c r="C740" s="10"/>
      <c r="D740" s="10"/>
      <c r="E740" s="10"/>
      <c r="F740" s="25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4.25" customHeight="1" x14ac:dyDescent="0.35">
      <c r="A741" s="10"/>
      <c r="B741" s="10"/>
      <c r="C741" s="10"/>
      <c r="D741" s="10"/>
      <c r="E741" s="10"/>
      <c r="F741" s="25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4.25" customHeight="1" x14ac:dyDescent="0.35">
      <c r="A742" s="10"/>
      <c r="B742" s="10"/>
      <c r="C742" s="10"/>
      <c r="D742" s="10"/>
      <c r="E742" s="10"/>
      <c r="F742" s="25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4.25" customHeight="1" x14ac:dyDescent="0.35">
      <c r="A743" s="10"/>
      <c r="B743" s="10"/>
      <c r="C743" s="10"/>
      <c r="D743" s="10"/>
      <c r="E743" s="10"/>
      <c r="F743" s="25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4.25" customHeight="1" x14ac:dyDescent="0.35">
      <c r="A744" s="10"/>
      <c r="B744" s="10"/>
      <c r="C744" s="10"/>
      <c r="D744" s="10"/>
      <c r="E744" s="10"/>
      <c r="F744" s="25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4.25" customHeight="1" x14ac:dyDescent="0.35">
      <c r="A745" s="10"/>
      <c r="B745" s="10"/>
      <c r="C745" s="10"/>
      <c r="D745" s="10"/>
      <c r="E745" s="10"/>
      <c r="F745" s="25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4.25" customHeight="1" x14ac:dyDescent="0.35">
      <c r="A746" s="10"/>
      <c r="B746" s="10"/>
      <c r="C746" s="10"/>
      <c r="D746" s="10"/>
      <c r="E746" s="10"/>
      <c r="F746" s="25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4.25" customHeight="1" x14ac:dyDescent="0.35">
      <c r="A747" s="10"/>
      <c r="B747" s="10"/>
      <c r="C747" s="10"/>
      <c r="D747" s="10"/>
      <c r="E747" s="10"/>
      <c r="F747" s="25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4.25" customHeight="1" x14ac:dyDescent="0.35">
      <c r="A748" s="10"/>
      <c r="B748" s="10"/>
      <c r="C748" s="10"/>
      <c r="D748" s="10"/>
      <c r="E748" s="10"/>
      <c r="F748" s="25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4.25" customHeight="1" x14ac:dyDescent="0.35">
      <c r="A749" s="10"/>
      <c r="B749" s="10"/>
      <c r="C749" s="10"/>
      <c r="D749" s="10"/>
      <c r="E749" s="10"/>
      <c r="F749" s="25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4.25" customHeight="1" x14ac:dyDescent="0.35">
      <c r="A750" s="10"/>
      <c r="B750" s="10"/>
      <c r="C750" s="10"/>
      <c r="D750" s="10"/>
      <c r="E750" s="10"/>
      <c r="F750" s="25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4.25" customHeight="1" x14ac:dyDescent="0.35">
      <c r="A751" s="10"/>
      <c r="B751" s="10"/>
      <c r="C751" s="10"/>
      <c r="D751" s="10"/>
      <c r="E751" s="10"/>
      <c r="F751" s="25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4.25" customHeight="1" x14ac:dyDescent="0.35">
      <c r="A752" s="10"/>
      <c r="B752" s="10"/>
      <c r="C752" s="10"/>
      <c r="D752" s="10"/>
      <c r="E752" s="10"/>
      <c r="F752" s="25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4.25" customHeight="1" x14ac:dyDescent="0.35">
      <c r="A753" s="10"/>
      <c r="B753" s="10"/>
      <c r="C753" s="10"/>
      <c r="D753" s="10"/>
      <c r="E753" s="10"/>
      <c r="F753" s="25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4.25" customHeight="1" x14ac:dyDescent="0.35">
      <c r="A754" s="10"/>
      <c r="B754" s="10"/>
      <c r="C754" s="10"/>
      <c r="D754" s="10"/>
      <c r="E754" s="10"/>
      <c r="F754" s="25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4.25" customHeight="1" x14ac:dyDescent="0.35">
      <c r="A755" s="10"/>
      <c r="B755" s="10"/>
      <c r="C755" s="10"/>
      <c r="D755" s="10"/>
      <c r="E755" s="10"/>
      <c r="F755" s="25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4.25" customHeight="1" x14ac:dyDescent="0.35">
      <c r="A756" s="10"/>
      <c r="B756" s="10"/>
      <c r="C756" s="10"/>
      <c r="D756" s="10"/>
      <c r="E756" s="10"/>
      <c r="F756" s="25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4.25" customHeight="1" x14ac:dyDescent="0.35">
      <c r="A757" s="10"/>
      <c r="B757" s="10"/>
      <c r="C757" s="10"/>
      <c r="D757" s="10"/>
      <c r="E757" s="10"/>
      <c r="F757" s="25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4.25" customHeight="1" x14ac:dyDescent="0.35">
      <c r="A758" s="10"/>
      <c r="B758" s="10"/>
      <c r="C758" s="10"/>
      <c r="D758" s="10"/>
      <c r="E758" s="10"/>
      <c r="F758" s="25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4.25" customHeight="1" x14ac:dyDescent="0.35">
      <c r="A759" s="10"/>
      <c r="B759" s="10"/>
      <c r="C759" s="10"/>
      <c r="D759" s="10"/>
      <c r="E759" s="10"/>
      <c r="F759" s="25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4.25" customHeight="1" x14ac:dyDescent="0.35">
      <c r="A760" s="10"/>
      <c r="B760" s="10"/>
      <c r="C760" s="10"/>
      <c r="D760" s="10"/>
      <c r="E760" s="10"/>
      <c r="F760" s="25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4.25" customHeight="1" x14ac:dyDescent="0.35">
      <c r="A761" s="10"/>
      <c r="B761" s="10"/>
      <c r="C761" s="10"/>
      <c r="D761" s="10"/>
      <c r="E761" s="10"/>
      <c r="F761" s="25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4.25" customHeight="1" x14ac:dyDescent="0.35">
      <c r="A762" s="10"/>
      <c r="B762" s="10"/>
      <c r="C762" s="10"/>
      <c r="D762" s="10"/>
      <c r="E762" s="10"/>
      <c r="F762" s="25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4.25" customHeight="1" x14ac:dyDescent="0.35">
      <c r="A763" s="10"/>
      <c r="B763" s="10"/>
      <c r="C763" s="10"/>
      <c r="D763" s="10"/>
      <c r="E763" s="10"/>
      <c r="F763" s="25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4.25" customHeight="1" x14ac:dyDescent="0.35">
      <c r="A764" s="10"/>
      <c r="B764" s="10"/>
      <c r="C764" s="10"/>
      <c r="D764" s="10"/>
      <c r="E764" s="10"/>
      <c r="F764" s="25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4.25" customHeight="1" x14ac:dyDescent="0.35">
      <c r="A765" s="10"/>
      <c r="B765" s="10"/>
      <c r="C765" s="10"/>
      <c r="D765" s="10"/>
      <c r="E765" s="10"/>
      <c r="F765" s="25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4.25" customHeight="1" x14ac:dyDescent="0.35">
      <c r="A766" s="10"/>
      <c r="B766" s="10"/>
      <c r="C766" s="10"/>
      <c r="D766" s="10"/>
      <c r="E766" s="10"/>
      <c r="F766" s="25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4.25" customHeight="1" x14ac:dyDescent="0.35">
      <c r="A767" s="10"/>
      <c r="B767" s="10"/>
      <c r="C767" s="10"/>
      <c r="D767" s="10"/>
      <c r="E767" s="10"/>
      <c r="F767" s="25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4.25" customHeight="1" x14ac:dyDescent="0.35">
      <c r="A768" s="10"/>
      <c r="B768" s="10"/>
      <c r="C768" s="10"/>
      <c r="D768" s="10"/>
      <c r="E768" s="10"/>
      <c r="F768" s="25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4.25" customHeight="1" x14ac:dyDescent="0.35">
      <c r="A769" s="10"/>
      <c r="B769" s="10"/>
      <c r="C769" s="10"/>
      <c r="D769" s="10"/>
      <c r="E769" s="10"/>
      <c r="F769" s="25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4.25" customHeight="1" x14ac:dyDescent="0.35">
      <c r="A770" s="10"/>
      <c r="B770" s="10"/>
      <c r="C770" s="10"/>
      <c r="D770" s="10"/>
      <c r="E770" s="10"/>
      <c r="F770" s="25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4.25" customHeight="1" x14ac:dyDescent="0.35">
      <c r="A771" s="10"/>
      <c r="B771" s="10"/>
      <c r="C771" s="10"/>
      <c r="D771" s="10"/>
      <c r="E771" s="10"/>
      <c r="F771" s="25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4.25" customHeight="1" x14ac:dyDescent="0.35">
      <c r="A772" s="10"/>
      <c r="B772" s="10"/>
      <c r="C772" s="10"/>
      <c r="D772" s="10"/>
      <c r="E772" s="10"/>
      <c r="F772" s="25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4.25" customHeight="1" x14ac:dyDescent="0.35">
      <c r="A773" s="10"/>
      <c r="B773" s="10"/>
      <c r="C773" s="10"/>
      <c r="D773" s="10"/>
      <c r="E773" s="10"/>
      <c r="F773" s="25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4.25" customHeight="1" x14ac:dyDescent="0.35">
      <c r="A774" s="10"/>
      <c r="B774" s="10"/>
      <c r="C774" s="10"/>
      <c r="D774" s="10"/>
      <c r="E774" s="10"/>
      <c r="F774" s="25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4.25" customHeight="1" x14ac:dyDescent="0.35">
      <c r="A775" s="10"/>
      <c r="B775" s="10"/>
      <c r="C775" s="10"/>
      <c r="D775" s="10"/>
      <c r="E775" s="10"/>
      <c r="F775" s="25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4.25" customHeight="1" x14ac:dyDescent="0.35">
      <c r="A776" s="10"/>
      <c r="B776" s="10"/>
      <c r="C776" s="10"/>
      <c r="D776" s="10"/>
      <c r="E776" s="10"/>
      <c r="F776" s="25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4.25" customHeight="1" x14ac:dyDescent="0.35">
      <c r="A777" s="10"/>
      <c r="B777" s="10"/>
      <c r="C777" s="10"/>
      <c r="D777" s="10"/>
      <c r="E777" s="10"/>
      <c r="F777" s="25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4.25" customHeight="1" x14ac:dyDescent="0.35">
      <c r="A778" s="10"/>
      <c r="B778" s="10"/>
      <c r="C778" s="10"/>
      <c r="D778" s="10"/>
      <c r="E778" s="10"/>
      <c r="F778" s="25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4.25" customHeight="1" x14ac:dyDescent="0.35">
      <c r="A779" s="10"/>
      <c r="B779" s="10"/>
      <c r="C779" s="10"/>
      <c r="D779" s="10"/>
      <c r="E779" s="10"/>
      <c r="F779" s="25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4.25" customHeight="1" x14ac:dyDescent="0.35">
      <c r="A780" s="10"/>
      <c r="B780" s="10"/>
      <c r="C780" s="10"/>
      <c r="D780" s="10"/>
      <c r="E780" s="10"/>
      <c r="F780" s="25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4.25" customHeight="1" x14ac:dyDescent="0.35">
      <c r="A781" s="10"/>
      <c r="B781" s="10"/>
      <c r="C781" s="10"/>
      <c r="D781" s="10"/>
      <c r="E781" s="10"/>
      <c r="F781" s="25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4.25" customHeight="1" x14ac:dyDescent="0.35">
      <c r="A782" s="10"/>
      <c r="B782" s="10"/>
      <c r="C782" s="10"/>
      <c r="D782" s="10"/>
      <c r="E782" s="10"/>
      <c r="F782" s="25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4.25" customHeight="1" x14ac:dyDescent="0.35">
      <c r="A783" s="10"/>
      <c r="B783" s="10"/>
      <c r="C783" s="10"/>
      <c r="D783" s="10"/>
      <c r="E783" s="10"/>
      <c r="F783" s="25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4.25" customHeight="1" x14ac:dyDescent="0.35">
      <c r="A784" s="10"/>
      <c r="B784" s="10"/>
      <c r="C784" s="10"/>
      <c r="D784" s="10"/>
      <c r="E784" s="10"/>
      <c r="F784" s="25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4.25" customHeight="1" x14ac:dyDescent="0.35">
      <c r="A785" s="10"/>
      <c r="B785" s="10"/>
      <c r="C785" s="10"/>
      <c r="D785" s="10"/>
      <c r="E785" s="10"/>
      <c r="F785" s="25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4.25" customHeight="1" x14ac:dyDescent="0.35">
      <c r="A786" s="10"/>
      <c r="B786" s="10"/>
      <c r="C786" s="10"/>
      <c r="D786" s="10"/>
      <c r="E786" s="10"/>
      <c r="F786" s="25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4.25" customHeight="1" x14ac:dyDescent="0.35">
      <c r="A787" s="10"/>
      <c r="B787" s="10"/>
      <c r="C787" s="10"/>
      <c r="D787" s="10"/>
      <c r="E787" s="10"/>
      <c r="F787" s="25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4.25" customHeight="1" x14ac:dyDescent="0.35">
      <c r="A788" s="10"/>
      <c r="B788" s="10"/>
      <c r="C788" s="10"/>
      <c r="D788" s="10"/>
      <c r="E788" s="10"/>
      <c r="F788" s="25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4.25" customHeight="1" x14ac:dyDescent="0.35">
      <c r="A789" s="10"/>
      <c r="B789" s="10"/>
      <c r="C789" s="10"/>
      <c r="D789" s="10"/>
      <c r="E789" s="10"/>
      <c r="F789" s="25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4.25" customHeight="1" x14ac:dyDescent="0.35">
      <c r="A790" s="10"/>
      <c r="B790" s="10"/>
      <c r="C790" s="10"/>
      <c r="D790" s="10"/>
      <c r="E790" s="10"/>
      <c r="F790" s="25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4.25" customHeight="1" x14ac:dyDescent="0.35">
      <c r="A791" s="10"/>
      <c r="B791" s="10"/>
      <c r="C791" s="10"/>
      <c r="D791" s="10"/>
      <c r="E791" s="10"/>
      <c r="F791" s="25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4.25" customHeight="1" x14ac:dyDescent="0.35">
      <c r="A792" s="10"/>
      <c r="B792" s="10"/>
      <c r="C792" s="10"/>
      <c r="D792" s="10"/>
      <c r="E792" s="10"/>
      <c r="F792" s="25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4.25" customHeight="1" x14ac:dyDescent="0.35">
      <c r="A793" s="10"/>
      <c r="B793" s="10"/>
      <c r="C793" s="10"/>
      <c r="D793" s="10"/>
      <c r="E793" s="10"/>
      <c r="F793" s="25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4.25" customHeight="1" x14ac:dyDescent="0.35">
      <c r="A794" s="10"/>
      <c r="B794" s="10"/>
      <c r="C794" s="10"/>
      <c r="D794" s="10"/>
      <c r="E794" s="10"/>
      <c r="F794" s="25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4.25" customHeight="1" x14ac:dyDescent="0.35">
      <c r="A795" s="10"/>
      <c r="B795" s="10"/>
      <c r="C795" s="10"/>
      <c r="D795" s="10"/>
      <c r="E795" s="10"/>
      <c r="F795" s="25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4.25" customHeight="1" x14ac:dyDescent="0.35">
      <c r="A796" s="10"/>
      <c r="B796" s="10"/>
      <c r="C796" s="10"/>
      <c r="D796" s="10"/>
      <c r="E796" s="10"/>
      <c r="F796" s="25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4.25" customHeight="1" x14ac:dyDescent="0.35">
      <c r="A797" s="10"/>
      <c r="B797" s="10"/>
      <c r="C797" s="10"/>
      <c r="D797" s="10"/>
      <c r="E797" s="10"/>
      <c r="F797" s="25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4.25" customHeight="1" x14ac:dyDescent="0.35">
      <c r="A798" s="10"/>
      <c r="B798" s="10"/>
      <c r="C798" s="10"/>
      <c r="D798" s="10"/>
      <c r="E798" s="10"/>
      <c r="F798" s="25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4.25" customHeight="1" x14ac:dyDescent="0.35">
      <c r="A799" s="10"/>
      <c r="B799" s="10"/>
      <c r="C799" s="10"/>
      <c r="D799" s="10"/>
      <c r="E799" s="10"/>
      <c r="F799" s="25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4.25" customHeight="1" x14ac:dyDescent="0.35">
      <c r="A800" s="10"/>
      <c r="B800" s="10"/>
      <c r="C800" s="10"/>
      <c r="D800" s="10"/>
      <c r="E800" s="10"/>
      <c r="F800" s="25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4.25" customHeight="1" x14ac:dyDescent="0.35">
      <c r="A801" s="10"/>
      <c r="B801" s="10"/>
      <c r="C801" s="10"/>
      <c r="D801" s="10"/>
      <c r="E801" s="10"/>
      <c r="F801" s="25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4.25" customHeight="1" x14ac:dyDescent="0.35">
      <c r="A802" s="10"/>
      <c r="B802" s="10"/>
      <c r="C802" s="10"/>
      <c r="D802" s="10"/>
      <c r="E802" s="10"/>
      <c r="F802" s="25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4.25" customHeight="1" x14ac:dyDescent="0.35">
      <c r="A803" s="10"/>
      <c r="B803" s="10"/>
      <c r="C803" s="10"/>
      <c r="D803" s="10"/>
      <c r="E803" s="10"/>
      <c r="F803" s="25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4.25" customHeight="1" x14ac:dyDescent="0.35">
      <c r="A804" s="10"/>
      <c r="B804" s="10"/>
      <c r="C804" s="10"/>
      <c r="D804" s="10"/>
      <c r="E804" s="10"/>
      <c r="F804" s="25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4.25" customHeight="1" x14ac:dyDescent="0.35">
      <c r="A805" s="10"/>
      <c r="B805" s="10"/>
      <c r="C805" s="10"/>
      <c r="D805" s="10"/>
      <c r="E805" s="10"/>
      <c r="F805" s="25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4.25" customHeight="1" x14ac:dyDescent="0.35">
      <c r="A806" s="10"/>
      <c r="B806" s="10"/>
      <c r="C806" s="10"/>
      <c r="D806" s="10"/>
      <c r="E806" s="10"/>
      <c r="F806" s="25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4.25" customHeight="1" x14ac:dyDescent="0.35">
      <c r="A807" s="10"/>
      <c r="B807" s="10"/>
      <c r="C807" s="10"/>
      <c r="D807" s="10"/>
      <c r="E807" s="10"/>
      <c r="F807" s="25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4.25" customHeight="1" x14ac:dyDescent="0.35">
      <c r="A808" s="10"/>
      <c r="B808" s="10"/>
      <c r="C808" s="10"/>
      <c r="D808" s="10"/>
      <c r="E808" s="10"/>
      <c r="F808" s="25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4.25" customHeight="1" x14ac:dyDescent="0.35">
      <c r="A809" s="10"/>
      <c r="B809" s="10"/>
      <c r="C809" s="10"/>
      <c r="D809" s="10"/>
      <c r="E809" s="10"/>
      <c r="F809" s="25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4.25" customHeight="1" x14ac:dyDescent="0.35">
      <c r="A810" s="10"/>
      <c r="B810" s="10"/>
      <c r="C810" s="10"/>
      <c r="D810" s="10"/>
      <c r="E810" s="10"/>
      <c r="F810" s="25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4.25" customHeight="1" x14ac:dyDescent="0.35">
      <c r="A811" s="10"/>
      <c r="B811" s="10"/>
      <c r="C811" s="10"/>
      <c r="D811" s="10"/>
      <c r="E811" s="10"/>
      <c r="F811" s="25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4.25" customHeight="1" x14ac:dyDescent="0.35">
      <c r="A812" s="10"/>
      <c r="B812" s="10"/>
      <c r="C812" s="10"/>
      <c r="D812" s="10"/>
      <c r="E812" s="10"/>
      <c r="F812" s="25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4.25" customHeight="1" x14ac:dyDescent="0.35">
      <c r="A813" s="10"/>
      <c r="B813" s="10"/>
      <c r="C813" s="10"/>
      <c r="D813" s="10"/>
      <c r="E813" s="10"/>
      <c r="F813" s="25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4.25" customHeight="1" x14ac:dyDescent="0.35">
      <c r="A814" s="10"/>
      <c r="B814" s="10"/>
      <c r="C814" s="10"/>
      <c r="D814" s="10"/>
      <c r="E814" s="10"/>
      <c r="F814" s="25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4.25" customHeight="1" x14ac:dyDescent="0.35">
      <c r="A815" s="10"/>
      <c r="B815" s="10"/>
      <c r="C815" s="10"/>
      <c r="D815" s="10"/>
      <c r="E815" s="10"/>
      <c r="F815" s="25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4.25" customHeight="1" x14ac:dyDescent="0.35">
      <c r="A816" s="10"/>
      <c r="B816" s="10"/>
      <c r="C816" s="10"/>
      <c r="D816" s="10"/>
      <c r="E816" s="10"/>
      <c r="F816" s="25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4.25" customHeight="1" x14ac:dyDescent="0.35">
      <c r="A817" s="10"/>
      <c r="B817" s="10"/>
      <c r="C817" s="10"/>
      <c r="D817" s="10"/>
      <c r="E817" s="10"/>
      <c r="F817" s="25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4.25" customHeight="1" x14ac:dyDescent="0.35">
      <c r="A818" s="10"/>
      <c r="B818" s="10"/>
      <c r="C818" s="10"/>
      <c r="D818" s="10"/>
      <c r="E818" s="10"/>
      <c r="F818" s="25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4.25" customHeight="1" x14ac:dyDescent="0.35">
      <c r="A819" s="10"/>
      <c r="B819" s="10"/>
      <c r="C819" s="10"/>
      <c r="D819" s="10"/>
      <c r="E819" s="10"/>
      <c r="F819" s="25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4.25" customHeight="1" x14ac:dyDescent="0.35">
      <c r="A820" s="10"/>
      <c r="B820" s="10"/>
      <c r="C820" s="10"/>
      <c r="D820" s="10"/>
      <c r="E820" s="10"/>
      <c r="F820" s="25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4.25" customHeight="1" x14ac:dyDescent="0.35">
      <c r="A821" s="10"/>
      <c r="B821" s="10"/>
      <c r="C821" s="10"/>
      <c r="D821" s="10"/>
      <c r="E821" s="10"/>
      <c r="F821" s="25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4.25" customHeight="1" x14ac:dyDescent="0.35">
      <c r="A822" s="10"/>
      <c r="B822" s="10"/>
      <c r="C822" s="10"/>
      <c r="D822" s="10"/>
      <c r="E822" s="10"/>
      <c r="F822" s="25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4.25" customHeight="1" x14ac:dyDescent="0.35">
      <c r="A823" s="10"/>
      <c r="B823" s="10"/>
      <c r="C823" s="10"/>
      <c r="D823" s="10"/>
      <c r="E823" s="10"/>
      <c r="F823" s="25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4.25" customHeight="1" x14ac:dyDescent="0.35">
      <c r="A824" s="10"/>
      <c r="B824" s="10"/>
      <c r="C824" s="10"/>
      <c r="D824" s="10"/>
      <c r="E824" s="10"/>
      <c r="F824" s="25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4.25" customHeight="1" x14ac:dyDescent="0.35">
      <c r="A825" s="10"/>
      <c r="B825" s="10"/>
      <c r="C825" s="10"/>
      <c r="D825" s="10"/>
      <c r="E825" s="10"/>
      <c r="F825" s="25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4.25" customHeight="1" x14ac:dyDescent="0.35">
      <c r="A826" s="10"/>
      <c r="B826" s="10"/>
      <c r="C826" s="10"/>
      <c r="D826" s="10"/>
      <c r="E826" s="10"/>
      <c r="F826" s="25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4.25" customHeight="1" x14ac:dyDescent="0.35">
      <c r="A827" s="10"/>
      <c r="B827" s="10"/>
      <c r="C827" s="10"/>
      <c r="D827" s="10"/>
      <c r="E827" s="10"/>
      <c r="F827" s="25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4.25" customHeight="1" x14ac:dyDescent="0.35">
      <c r="A828" s="10"/>
      <c r="B828" s="10"/>
      <c r="C828" s="10"/>
      <c r="D828" s="10"/>
      <c r="E828" s="10"/>
      <c r="F828" s="25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4.25" customHeight="1" x14ac:dyDescent="0.35">
      <c r="A829" s="10"/>
      <c r="B829" s="10"/>
      <c r="C829" s="10"/>
      <c r="D829" s="10"/>
      <c r="E829" s="10"/>
      <c r="F829" s="25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4.25" customHeight="1" x14ac:dyDescent="0.35">
      <c r="A830" s="10"/>
      <c r="B830" s="10"/>
      <c r="C830" s="10"/>
      <c r="D830" s="10"/>
      <c r="E830" s="10"/>
      <c r="F830" s="25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4.25" customHeight="1" x14ac:dyDescent="0.35">
      <c r="A831" s="10"/>
      <c r="B831" s="10"/>
      <c r="C831" s="10"/>
      <c r="D831" s="10"/>
      <c r="E831" s="10"/>
      <c r="F831" s="25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4.25" customHeight="1" x14ac:dyDescent="0.35">
      <c r="A832" s="10"/>
      <c r="B832" s="10"/>
      <c r="C832" s="10"/>
      <c r="D832" s="10"/>
      <c r="E832" s="10"/>
      <c r="F832" s="25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4.25" customHeight="1" x14ac:dyDescent="0.35">
      <c r="A833" s="10"/>
      <c r="B833" s="10"/>
      <c r="C833" s="10"/>
      <c r="D833" s="10"/>
      <c r="E833" s="10"/>
      <c r="F833" s="25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4.25" customHeight="1" x14ac:dyDescent="0.35">
      <c r="A834" s="10"/>
      <c r="B834" s="10"/>
      <c r="C834" s="10"/>
      <c r="D834" s="10"/>
      <c r="E834" s="10"/>
      <c r="F834" s="25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4.25" customHeight="1" x14ac:dyDescent="0.35">
      <c r="A835" s="10"/>
      <c r="B835" s="10"/>
      <c r="C835" s="10"/>
      <c r="D835" s="10"/>
      <c r="E835" s="10"/>
      <c r="F835" s="25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4.25" customHeight="1" x14ac:dyDescent="0.35">
      <c r="A836" s="10"/>
      <c r="B836" s="10"/>
      <c r="C836" s="10"/>
      <c r="D836" s="10"/>
      <c r="E836" s="10"/>
      <c r="F836" s="25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4.25" customHeight="1" x14ac:dyDescent="0.35">
      <c r="A837" s="10"/>
      <c r="B837" s="10"/>
      <c r="C837" s="10"/>
      <c r="D837" s="10"/>
      <c r="E837" s="10"/>
      <c r="F837" s="25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4.25" customHeight="1" x14ac:dyDescent="0.35">
      <c r="A838" s="10"/>
      <c r="B838" s="10"/>
      <c r="C838" s="10"/>
      <c r="D838" s="10"/>
      <c r="E838" s="10"/>
      <c r="F838" s="25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4.25" customHeight="1" x14ac:dyDescent="0.35">
      <c r="A839" s="10"/>
      <c r="B839" s="10"/>
      <c r="C839" s="10"/>
      <c r="D839" s="10"/>
      <c r="E839" s="10"/>
      <c r="F839" s="25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4.25" customHeight="1" x14ac:dyDescent="0.35">
      <c r="A840" s="10"/>
      <c r="B840" s="10"/>
      <c r="C840" s="10"/>
      <c r="D840" s="10"/>
      <c r="E840" s="10"/>
      <c r="F840" s="25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4.25" customHeight="1" x14ac:dyDescent="0.35">
      <c r="A841" s="10"/>
      <c r="B841" s="10"/>
      <c r="C841" s="10"/>
      <c r="D841" s="10"/>
      <c r="E841" s="10"/>
      <c r="F841" s="25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4.25" customHeight="1" x14ac:dyDescent="0.35">
      <c r="A842" s="10"/>
      <c r="B842" s="10"/>
      <c r="C842" s="10"/>
      <c r="D842" s="10"/>
      <c r="E842" s="10"/>
      <c r="F842" s="25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4.25" customHeight="1" x14ac:dyDescent="0.35">
      <c r="A843" s="10"/>
      <c r="B843" s="10"/>
      <c r="C843" s="10"/>
      <c r="D843" s="10"/>
      <c r="E843" s="10"/>
      <c r="F843" s="25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4.25" customHeight="1" x14ac:dyDescent="0.35">
      <c r="A844" s="10"/>
      <c r="B844" s="10"/>
      <c r="C844" s="10"/>
      <c r="D844" s="10"/>
      <c r="E844" s="10"/>
      <c r="F844" s="25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4.25" customHeight="1" x14ac:dyDescent="0.35">
      <c r="A845" s="10"/>
      <c r="B845" s="10"/>
      <c r="C845" s="10"/>
      <c r="D845" s="10"/>
      <c r="E845" s="10"/>
      <c r="F845" s="25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4.25" customHeight="1" x14ac:dyDescent="0.35">
      <c r="A846" s="10"/>
      <c r="B846" s="10"/>
      <c r="C846" s="10"/>
      <c r="D846" s="10"/>
      <c r="E846" s="10"/>
      <c r="F846" s="25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4.25" customHeight="1" x14ac:dyDescent="0.35">
      <c r="A847" s="10"/>
      <c r="B847" s="10"/>
      <c r="C847" s="10"/>
      <c r="D847" s="10"/>
      <c r="E847" s="10"/>
      <c r="F847" s="25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4.25" customHeight="1" x14ac:dyDescent="0.35">
      <c r="A848" s="10"/>
      <c r="B848" s="10"/>
      <c r="C848" s="10"/>
      <c r="D848" s="10"/>
      <c r="E848" s="10"/>
      <c r="F848" s="25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4.25" customHeight="1" x14ac:dyDescent="0.35">
      <c r="A849" s="10"/>
      <c r="B849" s="10"/>
      <c r="C849" s="10"/>
      <c r="D849" s="10"/>
      <c r="E849" s="10"/>
      <c r="F849" s="25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4.25" customHeight="1" x14ac:dyDescent="0.35">
      <c r="A850" s="10"/>
      <c r="B850" s="10"/>
      <c r="C850" s="10"/>
      <c r="D850" s="10"/>
      <c r="E850" s="10"/>
      <c r="F850" s="25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4.25" customHeight="1" x14ac:dyDescent="0.35">
      <c r="A851" s="10"/>
      <c r="B851" s="10"/>
      <c r="C851" s="10"/>
      <c r="D851" s="10"/>
      <c r="E851" s="10"/>
      <c r="F851" s="25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4.25" customHeight="1" x14ac:dyDescent="0.35">
      <c r="A852" s="10"/>
      <c r="B852" s="10"/>
      <c r="C852" s="10"/>
      <c r="D852" s="10"/>
      <c r="E852" s="10"/>
      <c r="F852" s="25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4.25" customHeight="1" x14ac:dyDescent="0.35">
      <c r="A853" s="10"/>
      <c r="B853" s="10"/>
      <c r="C853" s="10"/>
      <c r="D853" s="10"/>
      <c r="E853" s="10"/>
      <c r="F853" s="25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4.25" customHeight="1" x14ac:dyDescent="0.35">
      <c r="A854" s="10"/>
      <c r="B854" s="10"/>
      <c r="C854" s="10"/>
      <c r="D854" s="10"/>
      <c r="E854" s="10"/>
      <c r="F854" s="25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4.25" customHeight="1" x14ac:dyDescent="0.35">
      <c r="A855" s="10"/>
      <c r="B855" s="10"/>
      <c r="C855" s="10"/>
      <c r="D855" s="10"/>
      <c r="E855" s="10"/>
      <c r="F855" s="25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4.25" customHeight="1" x14ac:dyDescent="0.35">
      <c r="A856" s="10"/>
      <c r="B856" s="10"/>
      <c r="C856" s="10"/>
      <c r="D856" s="10"/>
      <c r="E856" s="10"/>
      <c r="F856" s="25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4.25" customHeight="1" x14ac:dyDescent="0.35">
      <c r="A857" s="10"/>
      <c r="B857" s="10"/>
      <c r="C857" s="10"/>
      <c r="D857" s="10"/>
      <c r="E857" s="10"/>
      <c r="F857" s="25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4.25" customHeight="1" x14ac:dyDescent="0.35">
      <c r="A858" s="10"/>
      <c r="B858" s="10"/>
      <c r="C858" s="10"/>
      <c r="D858" s="10"/>
      <c r="E858" s="10"/>
      <c r="F858" s="25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4.25" customHeight="1" x14ac:dyDescent="0.35">
      <c r="A859" s="10"/>
      <c r="B859" s="10"/>
      <c r="C859" s="10"/>
      <c r="D859" s="10"/>
      <c r="E859" s="10"/>
      <c r="F859" s="25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4.25" customHeight="1" x14ac:dyDescent="0.35">
      <c r="A860" s="10"/>
      <c r="B860" s="10"/>
      <c r="C860" s="10"/>
      <c r="D860" s="10"/>
      <c r="E860" s="10"/>
      <c r="F860" s="25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4.25" customHeight="1" x14ac:dyDescent="0.35">
      <c r="A861" s="10"/>
      <c r="B861" s="10"/>
      <c r="C861" s="10"/>
      <c r="D861" s="10"/>
      <c r="E861" s="10"/>
      <c r="F861" s="25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4.25" customHeight="1" x14ac:dyDescent="0.35">
      <c r="A862" s="10"/>
      <c r="B862" s="10"/>
      <c r="C862" s="10"/>
      <c r="D862" s="10"/>
      <c r="E862" s="10"/>
      <c r="F862" s="25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4.25" customHeight="1" x14ac:dyDescent="0.35">
      <c r="A863" s="10"/>
      <c r="B863" s="10"/>
      <c r="C863" s="10"/>
      <c r="D863" s="10"/>
      <c r="E863" s="10"/>
      <c r="F863" s="25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4.25" customHeight="1" x14ac:dyDescent="0.35">
      <c r="A864" s="10"/>
      <c r="B864" s="10"/>
      <c r="C864" s="10"/>
      <c r="D864" s="10"/>
      <c r="E864" s="10"/>
      <c r="F864" s="25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4.25" customHeight="1" x14ac:dyDescent="0.35">
      <c r="A865" s="10"/>
      <c r="B865" s="10"/>
      <c r="C865" s="10"/>
      <c r="D865" s="10"/>
      <c r="E865" s="10"/>
      <c r="F865" s="25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4.25" customHeight="1" x14ac:dyDescent="0.35">
      <c r="A866" s="10"/>
      <c r="B866" s="10"/>
      <c r="C866" s="10"/>
      <c r="D866" s="10"/>
      <c r="E866" s="10"/>
      <c r="F866" s="25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4.25" customHeight="1" x14ac:dyDescent="0.35">
      <c r="A867" s="10"/>
      <c r="B867" s="10"/>
      <c r="C867" s="10"/>
      <c r="D867" s="10"/>
      <c r="E867" s="10"/>
      <c r="F867" s="25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4.25" customHeight="1" x14ac:dyDescent="0.35">
      <c r="A868" s="10"/>
      <c r="B868" s="10"/>
      <c r="C868" s="10"/>
      <c r="D868" s="10"/>
      <c r="E868" s="10"/>
      <c r="F868" s="25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4.25" customHeight="1" x14ac:dyDescent="0.35">
      <c r="A869" s="10"/>
      <c r="B869" s="10"/>
      <c r="C869" s="10"/>
      <c r="D869" s="10"/>
      <c r="E869" s="10"/>
      <c r="F869" s="25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4.25" customHeight="1" x14ac:dyDescent="0.35">
      <c r="A870" s="10"/>
      <c r="B870" s="10"/>
      <c r="C870" s="10"/>
      <c r="D870" s="10"/>
      <c r="E870" s="10"/>
      <c r="F870" s="25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4.25" customHeight="1" x14ac:dyDescent="0.35">
      <c r="A871" s="10"/>
      <c r="B871" s="10"/>
      <c r="C871" s="10"/>
      <c r="D871" s="10"/>
      <c r="E871" s="10"/>
      <c r="F871" s="25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4.25" customHeight="1" x14ac:dyDescent="0.35">
      <c r="A872" s="10"/>
      <c r="B872" s="10"/>
      <c r="C872" s="10"/>
      <c r="D872" s="10"/>
      <c r="E872" s="10"/>
      <c r="F872" s="25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4.25" customHeight="1" x14ac:dyDescent="0.35">
      <c r="A873" s="10"/>
      <c r="B873" s="10"/>
      <c r="C873" s="10"/>
      <c r="D873" s="10"/>
      <c r="E873" s="10"/>
      <c r="F873" s="25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4.25" customHeight="1" x14ac:dyDescent="0.35">
      <c r="A874" s="10"/>
      <c r="B874" s="10"/>
      <c r="C874" s="10"/>
      <c r="D874" s="10"/>
      <c r="E874" s="10"/>
      <c r="F874" s="25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4.25" customHeight="1" x14ac:dyDescent="0.35">
      <c r="A875" s="10"/>
      <c r="B875" s="10"/>
      <c r="C875" s="10"/>
      <c r="D875" s="10"/>
      <c r="E875" s="10"/>
      <c r="F875" s="25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4.25" customHeight="1" x14ac:dyDescent="0.35">
      <c r="A876" s="10"/>
      <c r="B876" s="10"/>
      <c r="C876" s="10"/>
      <c r="D876" s="10"/>
      <c r="E876" s="10"/>
      <c r="F876" s="25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4.25" customHeight="1" x14ac:dyDescent="0.35">
      <c r="A877" s="10"/>
      <c r="B877" s="10"/>
      <c r="C877" s="10"/>
      <c r="D877" s="10"/>
      <c r="E877" s="10"/>
      <c r="F877" s="25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4.25" customHeight="1" x14ac:dyDescent="0.35">
      <c r="A878" s="10"/>
      <c r="B878" s="10"/>
      <c r="C878" s="10"/>
      <c r="D878" s="10"/>
      <c r="E878" s="10"/>
      <c r="F878" s="25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4.25" customHeight="1" x14ac:dyDescent="0.35">
      <c r="A879" s="10"/>
      <c r="B879" s="10"/>
      <c r="C879" s="10"/>
      <c r="D879" s="10"/>
      <c r="E879" s="10"/>
      <c r="F879" s="25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4.25" customHeight="1" x14ac:dyDescent="0.35">
      <c r="A880" s="10"/>
      <c r="B880" s="10"/>
      <c r="C880" s="10"/>
      <c r="D880" s="10"/>
      <c r="E880" s="10"/>
      <c r="F880" s="25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4.25" customHeight="1" x14ac:dyDescent="0.35">
      <c r="A881" s="10"/>
      <c r="B881" s="10"/>
      <c r="C881" s="10"/>
      <c r="D881" s="10"/>
      <c r="E881" s="10"/>
      <c r="F881" s="25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4.25" customHeight="1" x14ac:dyDescent="0.35">
      <c r="A882" s="10"/>
      <c r="B882" s="10"/>
      <c r="C882" s="10"/>
      <c r="D882" s="10"/>
      <c r="E882" s="10"/>
      <c r="F882" s="25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4.25" customHeight="1" x14ac:dyDescent="0.35">
      <c r="A883" s="10"/>
      <c r="B883" s="10"/>
      <c r="C883" s="10"/>
      <c r="D883" s="10"/>
      <c r="E883" s="10"/>
      <c r="F883" s="25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4.25" customHeight="1" x14ac:dyDescent="0.35">
      <c r="A884" s="10"/>
      <c r="B884" s="10"/>
      <c r="C884" s="10"/>
      <c r="D884" s="10"/>
      <c r="E884" s="10"/>
      <c r="F884" s="25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4.25" customHeight="1" x14ac:dyDescent="0.35">
      <c r="A885" s="10"/>
      <c r="B885" s="10"/>
      <c r="C885" s="10"/>
      <c r="D885" s="10"/>
      <c r="E885" s="10"/>
      <c r="F885" s="25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4.25" customHeight="1" x14ac:dyDescent="0.35">
      <c r="A886" s="10"/>
      <c r="B886" s="10"/>
      <c r="C886" s="10"/>
      <c r="D886" s="10"/>
      <c r="E886" s="10"/>
      <c r="F886" s="25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4.25" customHeight="1" x14ac:dyDescent="0.35">
      <c r="A887" s="10"/>
      <c r="B887" s="10"/>
      <c r="C887" s="10"/>
      <c r="D887" s="10"/>
      <c r="E887" s="10"/>
      <c r="F887" s="25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4.25" customHeight="1" x14ac:dyDescent="0.35">
      <c r="A888" s="10"/>
      <c r="B888" s="10"/>
      <c r="C888" s="10"/>
      <c r="D888" s="10"/>
      <c r="E888" s="10"/>
      <c r="F888" s="25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4.25" customHeight="1" x14ac:dyDescent="0.35">
      <c r="A889" s="10"/>
      <c r="B889" s="10"/>
      <c r="C889" s="10"/>
      <c r="D889" s="10"/>
      <c r="E889" s="10"/>
      <c r="F889" s="25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4.25" customHeight="1" x14ac:dyDescent="0.35">
      <c r="A890" s="10"/>
      <c r="B890" s="10"/>
      <c r="C890" s="10"/>
      <c r="D890" s="10"/>
      <c r="E890" s="10"/>
      <c r="F890" s="25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4.25" customHeight="1" x14ac:dyDescent="0.35">
      <c r="A891" s="10"/>
      <c r="B891" s="10"/>
      <c r="C891" s="10"/>
      <c r="D891" s="10"/>
      <c r="E891" s="10"/>
      <c r="F891" s="25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4.25" customHeight="1" x14ac:dyDescent="0.35">
      <c r="A892" s="10"/>
      <c r="B892" s="10"/>
      <c r="C892" s="10"/>
      <c r="D892" s="10"/>
      <c r="E892" s="10"/>
      <c r="F892" s="25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4.25" customHeight="1" x14ac:dyDescent="0.35">
      <c r="A893" s="10"/>
      <c r="B893" s="10"/>
      <c r="C893" s="10"/>
      <c r="D893" s="10"/>
      <c r="E893" s="10"/>
      <c r="F893" s="25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4.25" customHeight="1" x14ac:dyDescent="0.35">
      <c r="A894" s="10"/>
      <c r="B894" s="10"/>
      <c r="C894" s="10"/>
      <c r="D894" s="10"/>
      <c r="E894" s="10"/>
      <c r="F894" s="25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4.25" customHeight="1" x14ac:dyDescent="0.35">
      <c r="A895" s="10"/>
      <c r="B895" s="10"/>
      <c r="C895" s="10"/>
      <c r="D895" s="10"/>
      <c r="E895" s="10"/>
      <c r="F895" s="25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4.25" customHeight="1" x14ac:dyDescent="0.35">
      <c r="A896" s="10"/>
      <c r="B896" s="10"/>
      <c r="C896" s="10"/>
      <c r="D896" s="10"/>
      <c r="E896" s="10"/>
      <c r="F896" s="25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4.25" customHeight="1" x14ac:dyDescent="0.35">
      <c r="A897" s="10"/>
      <c r="B897" s="10"/>
      <c r="C897" s="10"/>
      <c r="D897" s="10"/>
      <c r="E897" s="10"/>
      <c r="F897" s="25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4.25" customHeight="1" x14ac:dyDescent="0.35">
      <c r="A898" s="10"/>
      <c r="B898" s="10"/>
      <c r="C898" s="10"/>
      <c r="D898" s="10"/>
      <c r="E898" s="10"/>
      <c r="F898" s="25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4.25" customHeight="1" x14ac:dyDescent="0.35">
      <c r="A899" s="10"/>
      <c r="B899" s="10"/>
      <c r="C899" s="10"/>
      <c r="D899" s="10"/>
      <c r="E899" s="10"/>
      <c r="F899" s="25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4.25" customHeight="1" x14ac:dyDescent="0.35">
      <c r="A900" s="10"/>
      <c r="B900" s="10"/>
      <c r="C900" s="10"/>
      <c r="D900" s="10"/>
      <c r="E900" s="10"/>
      <c r="F900" s="25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4.25" customHeight="1" x14ac:dyDescent="0.35">
      <c r="A901" s="10"/>
      <c r="B901" s="10"/>
      <c r="C901" s="10"/>
      <c r="D901" s="10"/>
      <c r="E901" s="10"/>
      <c r="F901" s="25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4.25" customHeight="1" x14ac:dyDescent="0.35">
      <c r="A902" s="10"/>
      <c r="B902" s="10"/>
      <c r="C902" s="10"/>
      <c r="D902" s="10"/>
      <c r="E902" s="10"/>
      <c r="F902" s="25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4.25" customHeight="1" x14ac:dyDescent="0.35">
      <c r="A903" s="10"/>
      <c r="B903" s="10"/>
      <c r="C903" s="10"/>
      <c r="D903" s="10"/>
      <c r="E903" s="10"/>
      <c r="F903" s="25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4.25" customHeight="1" x14ac:dyDescent="0.35">
      <c r="A904" s="10"/>
      <c r="B904" s="10"/>
      <c r="C904" s="10"/>
      <c r="D904" s="10"/>
      <c r="E904" s="10"/>
      <c r="F904" s="25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4.25" customHeight="1" x14ac:dyDescent="0.35">
      <c r="A905" s="10"/>
      <c r="B905" s="10"/>
      <c r="C905" s="10"/>
      <c r="D905" s="10"/>
      <c r="E905" s="10"/>
      <c r="F905" s="25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4.25" customHeight="1" x14ac:dyDescent="0.35">
      <c r="A906" s="10"/>
      <c r="B906" s="10"/>
      <c r="C906" s="10"/>
      <c r="D906" s="10"/>
      <c r="E906" s="10"/>
      <c r="F906" s="25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4.25" customHeight="1" x14ac:dyDescent="0.35">
      <c r="A907" s="10"/>
      <c r="B907" s="10"/>
      <c r="C907" s="10"/>
      <c r="D907" s="10"/>
      <c r="E907" s="10"/>
      <c r="F907" s="25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4.25" customHeight="1" x14ac:dyDescent="0.35">
      <c r="A908" s="10"/>
      <c r="B908" s="10"/>
      <c r="C908" s="10"/>
      <c r="D908" s="10"/>
      <c r="E908" s="10"/>
      <c r="F908" s="25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4.25" customHeight="1" x14ac:dyDescent="0.35">
      <c r="A909" s="10"/>
      <c r="B909" s="10"/>
      <c r="C909" s="10"/>
      <c r="D909" s="10"/>
      <c r="E909" s="10"/>
      <c r="F909" s="25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4.25" customHeight="1" x14ac:dyDescent="0.35">
      <c r="A910" s="10"/>
      <c r="B910" s="10"/>
      <c r="C910" s="10"/>
      <c r="D910" s="10"/>
      <c r="E910" s="10"/>
      <c r="F910" s="25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4.25" customHeight="1" x14ac:dyDescent="0.35">
      <c r="A911" s="10"/>
      <c r="B911" s="10"/>
      <c r="C911" s="10"/>
      <c r="D911" s="10"/>
      <c r="E911" s="10"/>
      <c r="F911" s="25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4.25" customHeight="1" x14ac:dyDescent="0.35">
      <c r="A912" s="10"/>
      <c r="B912" s="10"/>
      <c r="C912" s="10"/>
      <c r="D912" s="10"/>
      <c r="E912" s="10"/>
      <c r="F912" s="25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4.25" customHeight="1" x14ac:dyDescent="0.35">
      <c r="A913" s="10"/>
      <c r="B913" s="10"/>
      <c r="C913" s="10"/>
      <c r="D913" s="10"/>
      <c r="E913" s="10"/>
      <c r="F913" s="25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4.25" customHeight="1" x14ac:dyDescent="0.35">
      <c r="A914" s="10"/>
      <c r="B914" s="10"/>
      <c r="C914" s="10"/>
      <c r="D914" s="10"/>
      <c r="E914" s="10"/>
      <c r="F914" s="25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4.25" customHeight="1" x14ac:dyDescent="0.35">
      <c r="A915" s="10"/>
      <c r="B915" s="10"/>
      <c r="C915" s="10"/>
      <c r="D915" s="10"/>
      <c r="E915" s="10"/>
      <c r="F915" s="25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4.25" customHeight="1" x14ac:dyDescent="0.35">
      <c r="A916" s="10"/>
      <c r="B916" s="10"/>
      <c r="C916" s="10"/>
      <c r="D916" s="10"/>
      <c r="E916" s="10"/>
      <c r="F916" s="25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4.25" customHeight="1" x14ac:dyDescent="0.35">
      <c r="A917" s="10"/>
      <c r="B917" s="10"/>
      <c r="C917" s="10"/>
      <c r="D917" s="10"/>
      <c r="E917" s="10"/>
      <c r="F917" s="25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4.25" customHeight="1" x14ac:dyDescent="0.35">
      <c r="A918" s="10"/>
      <c r="B918" s="10"/>
      <c r="C918" s="10"/>
      <c r="D918" s="10"/>
      <c r="E918" s="10"/>
      <c r="F918" s="25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4.25" customHeight="1" x14ac:dyDescent="0.35">
      <c r="A919" s="10"/>
      <c r="B919" s="10"/>
      <c r="C919" s="10"/>
      <c r="D919" s="10"/>
      <c r="E919" s="10"/>
      <c r="F919" s="25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4.25" customHeight="1" x14ac:dyDescent="0.35">
      <c r="A920" s="10"/>
      <c r="B920" s="10"/>
      <c r="C920" s="10"/>
      <c r="D920" s="10"/>
      <c r="E920" s="10"/>
      <c r="F920" s="25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4.25" customHeight="1" x14ac:dyDescent="0.35">
      <c r="A921" s="10"/>
      <c r="B921" s="10"/>
      <c r="C921" s="10"/>
      <c r="D921" s="10"/>
      <c r="E921" s="10"/>
      <c r="F921" s="25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4.25" customHeight="1" x14ac:dyDescent="0.35">
      <c r="A922" s="10"/>
      <c r="B922" s="10"/>
      <c r="C922" s="10"/>
      <c r="D922" s="10"/>
      <c r="E922" s="10"/>
      <c r="F922" s="25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4.25" customHeight="1" x14ac:dyDescent="0.35">
      <c r="A923" s="10"/>
      <c r="B923" s="10"/>
      <c r="C923" s="10"/>
      <c r="D923" s="10"/>
      <c r="E923" s="10"/>
      <c r="F923" s="25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4.25" customHeight="1" x14ac:dyDescent="0.35">
      <c r="A924" s="10"/>
      <c r="B924" s="10"/>
      <c r="C924" s="10"/>
      <c r="D924" s="10"/>
      <c r="E924" s="10"/>
      <c r="F924" s="25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4.25" customHeight="1" x14ac:dyDescent="0.35">
      <c r="A925" s="10"/>
      <c r="B925" s="10"/>
      <c r="C925" s="10"/>
      <c r="D925" s="10"/>
      <c r="E925" s="10"/>
      <c r="F925" s="25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4.25" customHeight="1" x14ac:dyDescent="0.35">
      <c r="A926" s="10"/>
      <c r="B926" s="10"/>
      <c r="C926" s="10"/>
      <c r="D926" s="10"/>
      <c r="E926" s="10"/>
      <c r="F926" s="25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4.25" customHeight="1" x14ac:dyDescent="0.35">
      <c r="A927" s="10"/>
      <c r="B927" s="10"/>
      <c r="C927" s="10"/>
      <c r="D927" s="10"/>
      <c r="E927" s="10"/>
      <c r="F927" s="25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4.25" customHeight="1" x14ac:dyDescent="0.35">
      <c r="A928" s="10"/>
      <c r="B928" s="10"/>
      <c r="C928" s="10"/>
      <c r="D928" s="10"/>
      <c r="E928" s="10"/>
      <c r="F928" s="25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4.25" customHeight="1" x14ac:dyDescent="0.35">
      <c r="A929" s="10"/>
      <c r="B929" s="10"/>
      <c r="C929" s="10"/>
      <c r="D929" s="10"/>
      <c r="E929" s="10"/>
      <c r="F929" s="25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4.25" customHeight="1" x14ac:dyDescent="0.35">
      <c r="A930" s="10"/>
      <c r="B930" s="10"/>
      <c r="C930" s="10"/>
      <c r="D930" s="10"/>
      <c r="E930" s="10"/>
      <c r="F930" s="25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4.25" customHeight="1" x14ac:dyDescent="0.35">
      <c r="A931" s="10"/>
      <c r="B931" s="10"/>
      <c r="C931" s="10"/>
      <c r="D931" s="10"/>
      <c r="E931" s="10"/>
      <c r="F931" s="25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4.25" customHeight="1" x14ac:dyDescent="0.35">
      <c r="A932" s="10"/>
      <c r="B932" s="10"/>
      <c r="C932" s="10"/>
      <c r="D932" s="10"/>
      <c r="E932" s="10"/>
      <c r="F932" s="25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4.25" customHeight="1" x14ac:dyDescent="0.35">
      <c r="A933" s="10"/>
      <c r="B933" s="10"/>
      <c r="C933" s="10"/>
      <c r="D933" s="10"/>
      <c r="E933" s="10"/>
      <c r="F933" s="25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4.25" customHeight="1" x14ac:dyDescent="0.35">
      <c r="A934" s="10"/>
      <c r="B934" s="10"/>
      <c r="C934" s="10"/>
      <c r="D934" s="10"/>
      <c r="E934" s="10"/>
      <c r="F934" s="25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4.25" customHeight="1" x14ac:dyDescent="0.35">
      <c r="A935" s="10"/>
      <c r="B935" s="10"/>
      <c r="C935" s="10"/>
      <c r="D935" s="10"/>
      <c r="E935" s="10"/>
      <c r="F935" s="25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4.25" customHeight="1" x14ac:dyDescent="0.35">
      <c r="A936" s="10"/>
      <c r="B936" s="10"/>
      <c r="C936" s="10"/>
      <c r="D936" s="10"/>
      <c r="E936" s="10"/>
      <c r="F936" s="25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4.25" customHeight="1" x14ac:dyDescent="0.35">
      <c r="A937" s="10"/>
      <c r="B937" s="10"/>
      <c r="C937" s="10"/>
      <c r="D937" s="10"/>
      <c r="E937" s="10"/>
      <c r="F937" s="25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4.25" customHeight="1" x14ac:dyDescent="0.35">
      <c r="A938" s="10"/>
      <c r="B938" s="10"/>
      <c r="C938" s="10"/>
      <c r="D938" s="10"/>
      <c r="E938" s="10"/>
      <c r="F938" s="25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4.25" customHeight="1" x14ac:dyDescent="0.35">
      <c r="A939" s="10"/>
      <c r="B939" s="10"/>
      <c r="C939" s="10"/>
      <c r="D939" s="10"/>
      <c r="E939" s="10"/>
      <c r="F939" s="25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4.25" customHeight="1" x14ac:dyDescent="0.35">
      <c r="A940" s="10"/>
      <c r="B940" s="10"/>
      <c r="C940" s="10"/>
      <c r="D940" s="10"/>
      <c r="E940" s="10"/>
      <c r="F940" s="25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4.25" customHeight="1" x14ac:dyDescent="0.35">
      <c r="A941" s="10"/>
      <c r="B941" s="10"/>
      <c r="C941" s="10"/>
      <c r="D941" s="10"/>
      <c r="E941" s="10"/>
      <c r="F941" s="25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4.25" customHeight="1" x14ac:dyDescent="0.35">
      <c r="A942" s="10"/>
      <c r="B942" s="10"/>
      <c r="C942" s="10"/>
      <c r="D942" s="10"/>
      <c r="E942" s="10"/>
      <c r="F942" s="25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4.25" customHeight="1" x14ac:dyDescent="0.35">
      <c r="A943" s="10"/>
      <c r="B943" s="10"/>
      <c r="C943" s="10"/>
      <c r="D943" s="10"/>
      <c r="E943" s="10"/>
      <c r="F943" s="25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4.25" customHeight="1" x14ac:dyDescent="0.35">
      <c r="A944" s="10"/>
      <c r="B944" s="10"/>
      <c r="C944" s="10"/>
      <c r="D944" s="10"/>
      <c r="E944" s="10"/>
      <c r="F944" s="25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4.25" customHeight="1" x14ac:dyDescent="0.35">
      <c r="A945" s="10"/>
      <c r="B945" s="10"/>
      <c r="C945" s="10"/>
      <c r="D945" s="10"/>
      <c r="E945" s="10"/>
      <c r="F945" s="25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4.25" customHeight="1" x14ac:dyDescent="0.35">
      <c r="A946" s="10"/>
      <c r="B946" s="10"/>
      <c r="C946" s="10"/>
      <c r="D946" s="10"/>
      <c r="E946" s="10"/>
      <c r="F946" s="25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4.25" customHeight="1" x14ac:dyDescent="0.35">
      <c r="A947" s="10"/>
      <c r="B947" s="10"/>
      <c r="C947" s="10"/>
      <c r="D947" s="10"/>
      <c r="E947" s="10"/>
      <c r="F947" s="25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4.25" customHeight="1" x14ac:dyDescent="0.35">
      <c r="A948" s="10"/>
      <c r="B948" s="10"/>
      <c r="C948" s="10"/>
      <c r="D948" s="10"/>
      <c r="E948" s="10"/>
      <c r="F948" s="25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4.25" customHeight="1" x14ac:dyDescent="0.35">
      <c r="A949" s="10"/>
      <c r="B949" s="10"/>
      <c r="C949" s="10"/>
      <c r="D949" s="10"/>
      <c r="E949" s="10"/>
      <c r="F949" s="25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4.25" customHeight="1" x14ac:dyDescent="0.35">
      <c r="A950" s="10"/>
      <c r="B950" s="10"/>
      <c r="C950" s="10"/>
      <c r="D950" s="10"/>
      <c r="E950" s="10"/>
      <c r="F950" s="25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4.25" customHeight="1" x14ac:dyDescent="0.35">
      <c r="A951" s="10"/>
      <c r="B951" s="10"/>
      <c r="C951" s="10"/>
      <c r="D951" s="10"/>
      <c r="E951" s="10"/>
      <c r="F951" s="25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4.25" customHeight="1" x14ac:dyDescent="0.35">
      <c r="A952" s="10"/>
      <c r="B952" s="10"/>
      <c r="C952" s="10"/>
      <c r="D952" s="10"/>
      <c r="E952" s="10"/>
      <c r="F952" s="25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4.25" customHeight="1" x14ac:dyDescent="0.35">
      <c r="A953" s="10"/>
      <c r="B953" s="10"/>
      <c r="C953" s="10"/>
      <c r="D953" s="10"/>
      <c r="E953" s="10"/>
      <c r="F953" s="25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4.25" customHeight="1" x14ac:dyDescent="0.35">
      <c r="A954" s="10"/>
      <c r="B954" s="10"/>
      <c r="C954" s="10"/>
      <c r="D954" s="10"/>
      <c r="E954" s="10"/>
      <c r="F954" s="25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4.25" customHeight="1" x14ac:dyDescent="0.35">
      <c r="A955" s="10"/>
      <c r="B955" s="10"/>
      <c r="C955" s="10"/>
      <c r="D955" s="10"/>
      <c r="E955" s="10"/>
      <c r="F955" s="25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4.25" customHeight="1" x14ac:dyDescent="0.35">
      <c r="A956" s="10"/>
      <c r="B956" s="10"/>
      <c r="C956" s="10"/>
      <c r="D956" s="10"/>
      <c r="E956" s="10"/>
      <c r="F956" s="25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4.25" customHeight="1" x14ac:dyDescent="0.35">
      <c r="A957" s="10"/>
      <c r="B957" s="10"/>
      <c r="C957" s="10"/>
      <c r="D957" s="10"/>
      <c r="E957" s="10"/>
      <c r="F957" s="25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4.25" customHeight="1" x14ac:dyDescent="0.35">
      <c r="A958" s="10"/>
      <c r="B958" s="10"/>
      <c r="C958" s="10"/>
      <c r="D958" s="10"/>
      <c r="E958" s="10"/>
      <c r="F958" s="25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4.25" customHeight="1" x14ac:dyDescent="0.35">
      <c r="A959" s="10"/>
      <c r="B959" s="10"/>
      <c r="C959" s="10"/>
      <c r="D959" s="10"/>
      <c r="E959" s="10"/>
      <c r="F959" s="25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4.25" customHeight="1" x14ac:dyDescent="0.35">
      <c r="A960" s="10"/>
      <c r="B960" s="10"/>
      <c r="C960" s="10"/>
      <c r="D960" s="10"/>
      <c r="E960" s="10"/>
      <c r="F960" s="25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4.25" customHeight="1" x14ac:dyDescent="0.35">
      <c r="A961" s="10"/>
      <c r="B961" s="10"/>
      <c r="C961" s="10"/>
      <c r="D961" s="10"/>
      <c r="E961" s="10"/>
      <c r="F961" s="25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4.25" customHeight="1" x14ac:dyDescent="0.35">
      <c r="A962" s="10"/>
      <c r="B962" s="10"/>
      <c r="C962" s="10"/>
      <c r="D962" s="10"/>
      <c r="E962" s="10"/>
      <c r="F962" s="25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4.25" customHeight="1" x14ac:dyDescent="0.35">
      <c r="A963" s="10"/>
      <c r="B963" s="10"/>
      <c r="C963" s="10"/>
      <c r="D963" s="10"/>
      <c r="E963" s="10"/>
      <c r="F963" s="25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4.25" customHeight="1" x14ac:dyDescent="0.35">
      <c r="A964" s="10"/>
      <c r="B964" s="10"/>
      <c r="C964" s="10"/>
      <c r="D964" s="10"/>
      <c r="E964" s="10"/>
      <c r="F964" s="25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4.25" customHeight="1" x14ac:dyDescent="0.35">
      <c r="A965" s="10"/>
      <c r="B965" s="10"/>
      <c r="C965" s="10"/>
      <c r="D965" s="10"/>
      <c r="E965" s="10"/>
      <c r="F965" s="25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4.25" customHeight="1" x14ac:dyDescent="0.35">
      <c r="A966" s="10"/>
      <c r="B966" s="10"/>
      <c r="C966" s="10"/>
      <c r="D966" s="10"/>
      <c r="E966" s="10"/>
      <c r="F966" s="25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4.25" customHeight="1" x14ac:dyDescent="0.35">
      <c r="A967" s="10"/>
      <c r="B967" s="10"/>
      <c r="C967" s="10"/>
      <c r="D967" s="10"/>
      <c r="E967" s="10"/>
      <c r="F967" s="25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4.25" customHeight="1" x14ac:dyDescent="0.35">
      <c r="A968" s="10"/>
      <c r="B968" s="10"/>
      <c r="C968" s="10"/>
      <c r="D968" s="10"/>
      <c r="E968" s="10"/>
      <c r="F968" s="25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4.25" customHeight="1" x14ac:dyDescent="0.35">
      <c r="A969" s="10"/>
      <c r="B969" s="10"/>
      <c r="C969" s="10"/>
      <c r="D969" s="10"/>
      <c r="E969" s="10"/>
      <c r="F969" s="25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4.25" customHeight="1" x14ac:dyDescent="0.35">
      <c r="A970" s="10"/>
      <c r="B970" s="10"/>
      <c r="C970" s="10"/>
      <c r="D970" s="10"/>
      <c r="E970" s="10"/>
      <c r="F970" s="25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4.25" customHeight="1" x14ac:dyDescent="0.35">
      <c r="A971" s="10"/>
      <c r="B971" s="10"/>
      <c r="C971" s="10"/>
      <c r="D971" s="10"/>
      <c r="E971" s="10"/>
      <c r="F971" s="25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4.25" customHeight="1" x14ac:dyDescent="0.35">
      <c r="A972" s="10"/>
      <c r="B972" s="10"/>
      <c r="C972" s="10"/>
      <c r="D972" s="10"/>
      <c r="E972" s="10"/>
      <c r="F972" s="25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4.25" customHeight="1" x14ac:dyDescent="0.35">
      <c r="A973" s="10"/>
      <c r="B973" s="10"/>
      <c r="C973" s="10"/>
      <c r="D973" s="10"/>
      <c r="E973" s="10"/>
      <c r="F973" s="25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4.25" customHeight="1" x14ac:dyDescent="0.35">
      <c r="A974" s="10"/>
      <c r="B974" s="10"/>
      <c r="C974" s="10"/>
      <c r="D974" s="10"/>
      <c r="E974" s="10"/>
      <c r="F974" s="25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4.25" customHeight="1" x14ac:dyDescent="0.35">
      <c r="A975" s="10"/>
      <c r="B975" s="10"/>
      <c r="C975" s="10"/>
      <c r="D975" s="10"/>
      <c r="E975" s="10"/>
      <c r="F975" s="25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4.25" customHeight="1" x14ac:dyDescent="0.35">
      <c r="A976" s="10"/>
      <c r="B976" s="10"/>
      <c r="C976" s="10"/>
      <c r="D976" s="10"/>
      <c r="E976" s="10"/>
      <c r="F976" s="25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4.25" customHeight="1" x14ac:dyDescent="0.35">
      <c r="A977" s="10"/>
      <c r="B977" s="10"/>
      <c r="C977" s="10"/>
      <c r="D977" s="10"/>
      <c r="E977" s="10"/>
      <c r="F977" s="25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4.25" customHeight="1" x14ac:dyDescent="0.35">
      <c r="A978" s="10"/>
      <c r="B978" s="10"/>
      <c r="C978" s="10"/>
      <c r="D978" s="10"/>
      <c r="E978" s="10"/>
      <c r="F978" s="25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4.25" customHeight="1" x14ac:dyDescent="0.35">
      <c r="A979" s="10"/>
      <c r="B979" s="10"/>
      <c r="C979" s="10"/>
      <c r="D979" s="10"/>
      <c r="E979" s="10"/>
      <c r="F979" s="25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4.25" customHeight="1" x14ac:dyDescent="0.35">
      <c r="A980" s="10"/>
      <c r="B980" s="10"/>
      <c r="C980" s="10"/>
      <c r="D980" s="10"/>
      <c r="E980" s="10"/>
      <c r="F980" s="25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4.25" customHeight="1" x14ac:dyDescent="0.35">
      <c r="A981" s="10"/>
      <c r="B981" s="10"/>
      <c r="C981" s="10"/>
      <c r="D981" s="10"/>
      <c r="E981" s="10"/>
      <c r="F981" s="25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4.25" customHeight="1" x14ac:dyDescent="0.35">
      <c r="A982" s="10"/>
      <c r="B982" s="10"/>
      <c r="C982" s="10"/>
      <c r="D982" s="10"/>
      <c r="E982" s="10"/>
      <c r="F982" s="25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4.25" customHeight="1" x14ac:dyDescent="0.35">
      <c r="A983" s="10"/>
      <c r="B983" s="10"/>
      <c r="C983" s="10"/>
      <c r="D983" s="10"/>
      <c r="E983" s="10"/>
      <c r="F983" s="25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4.25" customHeight="1" x14ac:dyDescent="0.35">
      <c r="A984" s="10"/>
      <c r="B984" s="10"/>
      <c r="C984" s="10"/>
      <c r="D984" s="10"/>
      <c r="E984" s="10"/>
      <c r="F984" s="25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4.25" customHeight="1" x14ac:dyDescent="0.35">
      <c r="A985" s="10"/>
      <c r="B985" s="10"/>
      <c r="C985" s="10"/>
      <c r="D985" s="10"/>
      <c r="E985" s="10"/>
      <c r="F985" s="25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4.25" customHeight="1" x14ac:dyDescent="0.35">
      <c r="A986" s="10"/>
      <c r="B986" s="10"/>
      <c r="C986" s="10"/>
      <c r="D986" s="10"/>
      <c r="E986" s="10"/>
      <c r="F986" s="25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4.25" customHeight="1" x14ac:dyDescent="0.35">
      <c r="A987" s="10"/>
      <c r="B987" s="10"/>
      <c r="C987" s="10"/>
      <c r="D987" s="10"/>
      <c r="E987" s="10"/>
      <c r="F987" s="25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4.25" customHeight="1" x14ac:dyDescent="0.35">
      <c r="A988" s="10"/>
      <c r="B988" s="10"/>
      <c r="C988" s="10"/>
      <c r="D988" s="10"/>
      <c r="E988" s="10"/>
      <c r="F988" s="25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4.25" customHeight="1" x14ac:dyDescent="0.35">
      <c r="A989" s="10"/>
      <c r="B989" s="10"/>
      <c r="C989" s="10"/>
      <c r="D989" s="10"/>
      <c r="E989" s="10"/>
      <c r="F989" s="25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4.25" customHeight="1" x14ac:dyDescent="0.35">
      <c r="A990" s="10"/>
      <c r="B990" s="10"/>
      <c r="C990" s="10"/>
      <c r="D990" s="10"/>
      <c r="E990" s="10"/>
      <c r="F990" s="25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4.25" customHeight="1" x14ac:dyDescent="0.35">
      <c r="A991" s="10"/>
      <c r="B991" s="10"/>
      <c r="C991" s="10"/>
      <c r="D991" s="10"/>
      <c r="E991" s="10"/>
      <c r="F991" s="25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4.25" customHeight="1" x14ac:dyDescent="0.35">
      <c r="A992" s="10"/>
      <c r="B992" s="10"/>
      <c r="C992" s="10"/>
      <c r="D992" s="10"/>
      <c r="E992" s="10"/>
      <c r="F992" s="25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4.25" customHeight="1" x14ac:dyDescent="0.35">
      <c r="A993" s="10"/>
      <c r="B993" s="10"/>
      <c r="C993" s="10"/>
      <c r="D993" s="10"/>
      <c r="E993" s="10"/>
      <c r="F993" s="25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4.25" customHeight="1" x14ac:dyDescent="0.35">
      <c r="A994" s="10"/>
      <c r="B994" s="10"/>
      <c r="C994" s="10"/>
      <c r="D994" s="10"/>
      <c r="E994" s="10"/>
      <c r="F994" s="25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4.25" customHeight="1" x14ac:dyDescent="0.35">
      <c r="A995" s="10"/>
      <c r="B995" s="10"/>
      <c r="C995" s="10"/>
      <c r="D995" s="10"/>
      <c r="E995" s="10"/>
      <c r="F995" s="25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4.25" customHeight="1" x14ac:dyDescent="0.35">
      <c r="A996" s="10"/>
      <c r="B996" s="10"/>
      <c r="C996" s="10"/>
      <c r="D996" s="10"/>
      <c r="E996" s="10"/>
      <c r="F996" s="25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4.25" customHeight="1" x14ac:dyDescent="0.35">
      <c r="A997" s="10"/>
      <c r="B997" s="10"/>
      <c r="C997" s="10"/>
      <c r="D997" s="10"/>
      <c r="E997" s="10"/>
      <c r="F997" s="25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4.25" customHeight="1" x14ac:dyDescent="0.35">
      <c r="A998" s="10"/>
      <c r="B998" s="10"/>
      <c r="C998" s="10"/>
      <c r="D998" s="10"/>
      <c r="E998" s="10"/>
      <c r="F998" s="25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4.25" customHeight="1" x14ac:dyDescent="0.35">
      <c r="A999" s="10"/>
      <c r="B999" s="10"/>
      <c r="C999" s="10"/>
      <c r="D999" s="10"/>
      <c r="E999" s="10"/>
      <c r="F999" s="25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4.25" customHeight="1" x14ac:dyDescent="0.35">
      <c r="A1000" s="10"/>
      <c r="B1000" s="10"/>
      <c r="C1000" s="10"/>
      <c r="D1000" s="10"/>
      <c r="E1000" s="10"/>
      <c r="F1000" s="25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 ht="14.25" customHeight="1" x14ac:dyDescent="0.35">
      <c r="A1001" s="10"/>
      <c r="B1001" s="10"/>
      <c r="C1001" s="10"/>
      <c r="D1001" s="10"/>
      <c r="E1001" s="10"/>
      <c r="F1001" s="25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 ht="14.25" customHeight="1" x14ac:dyDescent="0.35">
      <c r="A1002" s="10"/>
      <c r="B1002" s="10"/>
      <c r="C1002" s="10"/>
      <c r="D1002" s="10"/>
      <c r="E1002" s="10"/>
      <c r="F1002" s="25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spans="1:26" ht="14.25" customHeight="1" x14ac:dyDescent="0.35">
      <c r="A1003" s="10"/>
      <c r="B1003" s="10"/>
      <c r="C1003" s="10"/>
      <c r="D1003" s="10"/>
      <c r="E1003" s="10"/>
      <c r="F1003" s="25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 ht="14.25" customHeight="1" x14ac:dyDescent="0.35">
      <c r="A1004" s="10"/>
      <c r="B1004" s="10"/>
      <c r="C1004" s="10"/>
      <c r="D1004" s="10"/>
      <c r="E1004" s="10"/>
      <c r="F1004" s="25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 ht="14.25" customHeight="1" x14ac:dyDescent="0.35">
      <c r="A1005" s="10"/>
      <c r="B1005" s="10"/>
      <c r="C1005" s="10"/>
      <c r="D1005" s="10"/>
      <c r="E1005" s="10"/>
      <c r="F1005" s="25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 ht="14.25" customHeight="1" x14ac:dyDescent="0.35">
      <c r="A1006" s="10"/>
      <c r="B1006" s="10"/>
      <c r="C1006" s="10"/>
      <c r="D1006" s="10"/>
      <c r="E1006" s="10"/>
      <c r="F1006" s="25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 ht="14.25" customHeight="1" x14ac:dyDescent="0.35">
      <c r="A1007" s="10"/>
      <c r="B1007" s="10"/>
      <c r="C1007" s="10"/>
      <c r="D1007" s="10"/>
      <c r="E1007" s="10"/>
      <c r="F1007" s="25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 ht="14.25" customHeight="1" x14ac:dyDescent="0.35">
      <c r="A1008" s="10"/>
      <c r="B1008" s="10"/>
      <c r="C1008" s="10"/>
      <c r="D1008" s="10"/>
      <c r="E1008" s="10"/>
      <c r="F1008" s="25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 ht="14.25" customHeight="1" x14ac:dyDescent="0.35">
      <c r="A1009" s="10"/>
      <c r="B1009" s="10"/>
      <c r="C1009" s="10"/>
      <c r="D1009" s="10"/>
      <c r="E1009" s="10"/>
      <c r="F1009" s="25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 ht="14.25" customHeight="1" x14ac:dyDescent="0.35">
      <c r="A1010" s="10"/>
      <c r="B1010" s="10"/>
      <c r="C1010" s="10"/>
      <c r="D1010" s="10"/>
      <c r="E1010" s="10"/>
      <c r="F1010" s="25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 ht="14.25" customHeight="1" x14ac:dyDescent="0.35">
      <c r="A1011" s="10"/>
      <c r="B1011" s="10"/>
      <c r="C1011" s="10"/>
      <c r="D1011" s="10"/>
      <c r="E1011" s="10"/>
      <c r="F1011" s="25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 ht="14.25" customHeight="1" x14ac:dyDescent="0.35">
      <c r="A1012" s="10"/>
      <c r="B1012" s="10"/>
      <c r="C1012" s="10"/>
      <c r="D1012" s="10"/>
      <c r="E1012" s="10"/>
      <c r="F1012" s="25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</vt:lpstr>
      <vt:lpstr>Salary</vt:lpstr>
      <vt:lpstr>Bank Exp Allowance</vt:lpstr>
      <vt:lpstr>Bank 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Personal</cp:lastModifiedBy>
  <dcterms:created xsi:type="dcterms:W3CDTF">2026-05-05T07:52:41Z</dcterms:created>
  <dcterms:modified xsi:type="dcterms:W3CDTF">2026-08-10T13:08:16Z</dcterms:modified>
</cp:coreProperties>
</file>